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 ContentType="application/vnd.ms-exce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X:\PROJECTS\1. APG\8.AS\Dahlia Valve\APQP Dahlia Valve - Stellantis\HD\Work Documents\"/>
    </mc:Choice>
  </mc:AlternateContent>
  <xr:revisionPtr revIDLastSave="0" documentId="13_ncr:1_{FC59D0B0-B684-4E43-92F5-7534F340207C}" xr6:coauthVersionLast="47" xr6:coauthVersionMax="47" xr10:uidLastSave="{00000000-0000-0000-0000-000000000000}"/>
  <bookViews>
    <workbookView xWindow="-110" yWindow="-110" windowWidth="19420" windowHeight="10420" tabRatio="871" activeTab="27" xr2:uid="{00000000-000D-0000-FFFF-FFFF00000000}"/>
  </bookViews>
  <sheets>
    <sheet name="Portada " sheetId="35" r:id="rId1"/>
    <sheet name="CFT " sheetId="66" r:id="rId2"/>
    <sheet name="Programa APQP" sheetId="26" r:id="rId3"/>
    <sheet name="DATA" sheetId="49" state="hidden" r:id="rId4"/>
    <sheet name="Stage2" sheetId="42" r:id="rId5"/>
    <sheet name="00" sheetId="52" state="hidden" r:id="rId6"/>
    <sheet name="01" sheetId="5" state="hidden" r:id="rId7"/>
    <sheet name="02" sheetId="6" state="hidden" r:id="rId8"/>
    <sheet name="03" sheetId="7" state="hidden" r:id="rId9"/>
    <sheet name="04" sheetId="8" state="hidden" r:id="rId10"/>
    <sheet name="05" sheetId="9" state="hidden" r:id="rId11"/>
    <sheet name="06" sheetId="10" state="hidden" r:id="rId12"/>
    <sheet name="07" sheetId="11" state="hidden" r:id="rId13"/>
    <sheet name="08" sheetId="12" state="hidden" r:id="rId14"/>
    <sheet name="09" sheetId="14" state="hidden" r:id="rId15"/>
    <sheet name="10" sheetId="15" state="hidden" r:id="rId16"/>
    <sheet name="11" sheetId="16" state="hidden" r:id="rId17"/>
    <sheet name="12" sheetId="17" state="hidden" r:id="rId18"/>
    <sheet name="Stage 3" sheetId="61" r:id="rId19"/>
    <sheet name="13" sheetId="59" state="hidden" r:id="rId20"/>
    <sheet name="14" sheetId="18" state="hidden" r:id="rId21"/>
    <sheet name="15" sheetId="19" state="hidden" r:id="rId22"/>
    <sheet name="16" sheetId="20" state="hidden" r:id="rId23"/>
    <sheet name="17" sheetId="21" state="hidden" r:id="rId24"/>
    <sheet name="18" sheetId="22" state="hidden" r:id="rId25"/>
    <sheet name="19" sheetId="64" state="hidden" r:id="rId26"/>
    <sheet name="20" sheetId="65" state="hidden" r:id="rId27"/>
    <sheet name="Stage 4" sheetId="62" r:id="rId28"/>
    <sheet name="21" sheetId="4" state="hidden" r:id="rId29"/>
    <sheet name="22" sheetId="3" state="hidden" r:id="rId30"/>
    <sheet name="23" sheetId="2" state="hidden" r:id="rId31"/>
    <sheet name="24" sheetId="1" state="hidden" r:id="rId32"/>
    <sheet name="25" sheetId="33" state="hidden" r:id="rId33"/>
    <sheet name="Stage 5" sheetId="63" r:id="rId34"/>
    <sheet name="Buy off preparation checklist" sheetId="40" state="hidden" r:id="rId35"/>
    <sheet name="Misc" sheetId="34" state="hidden" r:id="rId36"/>
  </sheets>
  <externalReferences>
    <externalReference r:id="rId37"/>
    <externalReference r:id="rId38"/>
    <externalReference r:id="rId39"/>
    <externalReference r:id="rId40"/>
  </externalReferences>
  <definedNames>
    <definedName name="_xlnm._FilterDatabase" localSheetId="2" hidden="1">'Programa APQP'!$A$9:$P$91</definedName>
    <definedName name="ClearOldRecord" localSheetId="19">'13'!ClearOldRecord</definedName>
    <definedName name="ClearOldRecord" localSheetId="1">'CFT '!ClearOldRecord</definedName>
    <definedName name="ClearOldRecord">[1]!ClearOldRecord</definedName>
    <definedName name="Entry" localSheetId="19">'13'!Entry</definedName>
    <definedName name="Entry" localSheetId="1">'CFT '!Entry</definedName>
    <definedName name="Entry">[1]!Entry</definedName>
    <definedName name="ExitProgram" localSheetId="19">'13'!ExitProgram</definedName>
    <definedName name="ExitProgram" localSheetId="1">'CFT '!ExitProgram</definedName>
    <definedName name="ExitProgram">[1]!ExitProgram</definedName>
    <definedName name="HistogramWizard" localSheetId="19">'13'!HistogramWizard</definedName>
    <definedName name="HistogramWizard" localSheetId="1">'CFT '!HistogramWizard</definedName>
    <definedName name="HistogramWizard">[1]!HistogramWizard</definedName>
    <definedName name="kk" localSheetId="19">'13'!kk</definedName>
    <definedName name="kk" localSheetId="1">'CFT '!kk</definedName>
    <definedName name="kk">[1]!kk</definedName>
    <definedName name="print" localSheetId="19">'13'!print</definedName>
    <definedName name="print" localSheetId="1">'CFT '!print</definedName>
    <definedName name="print">[1]!print</definedName>
    <definedName name="_xlnm.Print_Area" localSheetId="5">'00'!$A$1:$J$6</definedName>
    <definedName name="_xlnm.Print_Area" localSheetId="6">'01'!$A$1:$J$6</definedName>
    <definedName name="_xlnm.Print_Area" localSheetId="7">'02'!$A$1:$J$6</definedName>
    <definedName name="_xlnm.Print_Area" localSheetId="8">'03'!$A$1:$J$6</definedName>
    <definedName name="_xlnm.Print_Area" localSheetId="9">'04'!$A$1:$J$12</definedName>
    <definedName name="_xlnm.Print_Area" localSheetId="11">'06'!$A$1:$J$15</definedName>
    <definedName name="_xlnm.Print_Area" localSheetId="12">'07'!$A$1:$J$14</definedName>
    <definedName name="_xlnm.Print_Area" localSheetId="13">'08'!$A$1:$P$14</definedName>
    <definedName name="_xlnm.Print_Area" localSheetId="14">'09'!$A$1:$J$6</definedName>
    <definedName name="_xlnm.Print_Area" localSheetId="15">'10'!$A$1:$J$7</definedName>
    <definedName name="_xlnm.Print_Area" localSheetId="16">'11'!$A$1:$J$10</definedName>
    <definedName name="_xlnm.Print_Area" localSheetId="20">'14'!$A$1:$J$11</definedName>
    <definedName name="_xlnm.Print_Area" localSheetId="21">'15'!$A$1:$J$9</definedName>
    <definedName name="_xlnm.Print_Area" localSheetId="23">'17'!$A$1:$J$6</definedName>
    <definedName name="_xlnm.Print_Area" localSheetId="25">'19'!$A$1:$J$10</definedName>
    <definedName name="_xlnm.Print_Area" localSheetId="26">'20'!$A$1:$J$12</definedName>
    <definedName name="_xlnm.Print_Area" localSheetId="28">'21'!$A$1:$J$6</definedName>
    <definedName name="_xlnm.Print_Area" localSheetId="31">'24'!$A$1:$J$7</definedName>
    <definedName name="_xlnm.Print_Area" localSheetId="32">'25'!$A$1:$J$7</definedName>
    <definedName name="_xlnm.Print_Area" localSheetId="18">'Stage 3'!$A$1:$G$36</definedName>
    <definedName name="_xlnm.Print_Area" localSheetId="27">'Stage 4'!$A$1:$G$36</definedName>
    <definedName name="_xlnm.Print_Area" localSheetId="33">'Stage 5'!$A$1:$G$36</definedName>
    <definedName name="_xlnm.Print_Area" localSheetId="4">Stage2!$A$1:$J$29</definedName>
    <definedName name="PrintReport" localSheetId="19">'13'!PrintReport</definedName>
    <definedName name="PrintReport" localSheetId="1">'CFT '!PrintReport</definedName>
    <definedName name="PrintReport">[1]!PrintReport</definedName>
    <definedName name="qwe" localSheetId="19">'13'!qwe</definedName>
    <definedName name="qwe" localSheetId="1">'CFT '!qwe</definedName>
    <definedName name="qwe">[1]!qwe</definedName>
    <definedName name="Retrieve" localSheetId="19">'13'!Retrieve</definedName>
    <definedName name="Retrieve" localSheetId="1">'CFT '!Retrieve</definedName>
    <definedName name="Retrieve">[1]!Retrieve</definedName>
    <definedName name="ReturnTOMain" localSheetId="19">'13'!ReturnTOMain</definedName>
    <definedName name="ReturnTOMain" localSheetId="1">'CFT '!ReturnTOMain</definedName>
    <definedName name="ReturnTOMain">[1]!ReturnTOMain</definedName>
    <definedName name="Save" localSheetId="19">'13'!Save</definedName>
    <definedName name="Save" localSheetId="1">'CFT '!Save</definedName>
    <definedName name="Save">[1]!Save</definedName>
    <definedName name="Z_0D2B2804_9719_4CF5_836A_6C18EF806972_.wvu.Cols" localSheetId="1" hidden="1">'CFT '!$A:$A,'CFT '!$I:$XFD</definedName>
    <definedName name="Z_0D2B2804_9719_4CF5_836A_6C18EF806972_.wvu.PrintArea" localSheetId="5" hidden="1">'00'!$A$1:$J$6</definedName>
    <definedName name="Z_0D2B2804_9719_4CF5_836A_6C18EF806972_.wvu.PrintArea" localSheetId="6" hidden="1">'01'!$A$1:$J$6</definedName>
    <definedName name="Z_0D2B2804_9719_4CF5_836A_6C18EF806972_.wvu.PrintArea" localSheetId="7" hidden="1">'02'!$A$1:$J$6</definedName>
    <definedName name="Z_0D2B2804_9719_4CF5_836A_6C18EF806972_.wvu.PrintArea" localSheetId="9" hidden="1">'04'!$A$1:$J$12</definedName>
    <definedName name="Z_0D2B2804_9719_4CF5_836A_6C18EF806972_.wvu.PrintArea" localSheetId="11" hidden="1">'06'!$A$1:$J$14</definedName>
    <definedName name="Z_0D2B2804_9719_4CF5_836A_6C18EF806972_.wvu.PrintArea" localSheetId="12" hidden="1">'07'!$A$1:$J$13</definedName>
    <definedName name="Z_0D2B2804_9719_4CF5_836A_6C18EF806972_.wvu.PrintArea" localSheetId="13" hidden="1">'08'!$A$1:$P$14</definedName>
    <definedName name="Z_0D2B2804_9719_4CF5_836A_6C18EF806972_.wvu.PrintArea" localSheetId="14" hidden="1">'09'!$A$1:$J$6</definedName>
    <definedName name="Z_0D2B2804_9719_4CF5_836A_6C18EF806972_.wvu.PrintArea" localSheetId="15" hidden="1">'10'!$A$1:$J$7</definedName>
    <definedName name="Z_0D2B2804_9719_4CF5_836A_6C18EF806972_.wvu.PrintArea" localSheetId="16" hidden="1">'11'!$A$1:$J$10</definedName>
    <definedName name="Z_0D2B2804_9719_4CF5_836A_6C18EF806972_.wvu.PrintArea" localSheetId="20" hidden="1">'14'!$A$1:$J$11</definedName>
    <definedName name="Z_0D2B2804_9719_4CF5_836A_6C18EF806972_.wvu.PrintArea" localSheetId="21" hidden="1">'15'!$A$1:$J$9</definedName>
    <definedName name="Z_0D2B2804_9719_4CF5_836A_6C18EF806972_.wvu.PrintArea" localSheetId="23" hidden="1">'17'!$A$1:$J$3</definedName>
    <definedName name="Z_0D2B2804_9719_4CF5_836A_6C18EF806972_.wvu.PrintArea" localSheetId="25" hidden="1">'19'!$A$1:$J$10</definedName>
    <definedName name="Z_0D2B2804_9719_4CF5_836A_6C18EF806972_.wvu.PrintArea" localSheetId="26" hidden="1">'20'!$A$1:$J$12</definedName>
    <definedName name="Z_0D2B2804_9719_4CF5_836A_6C18EF806972_.wvu.PrintArea" localSheetId="28" hidden="1">'21'!$A$1:$J$6</definedName>
    <definedName name="Z_0D2B2804_9719_4CF5_836A_6C18EF806972_.wvu.PrintArea" localSheetId="31" hidden="1">'24'!$A$1:$J$6</definedName>
    <definedName name="Z_0D2B2804_9719_4CF5_836A_6C18EF806972_.wvu.PrintArea" localSheetId="32" hidden="1">'25'!$A$1:$J$7</definedName>
    <definedName name="Z_0D2B2804_9719_4CF5_836A_6C18EF806972_.wvu.PrintArea" localSheetId="2" hidden="1">'Programa APQP'!$A$1:$H$91</definedName>
    <definedName name="Z_0D2B2804_9719_4CF5_836A_6C18EF806972_.wvu.PrintArea" localSheetId="18" hidden="1">'Stage 3'!$A$1:$G$36</definedName>
    <definedName name="Z_0D2B2804_9719_4CF5_836A_6C18EF806972_.wvu.PrintArea" localSheetId="27" hidden="1">'Stage 4'!$A$1:$G$36</definedName>
    <definedName name="Z_0D2B2804_9719_4CF5_836A_6C18EF806972_.wvu.PrintArea" localSheetId="33" hidden="1">'Stage 5'!$A$1:$G$36</definedName>
    <definedName name="Z_0D2B2804_9719_4CF5_836A_6C18EF806972_.wvu.PrintArea" localSheetId="4" hidden="1">Stage2!$A$1:$J$29</definedName>
    <definedName name="Z_0D2B2804_9719_4CF5_836A_6C18EF806972_.wvu.Rows" localSheetId="8" hidden="1">'03'!#REF!</definedName>
    <definedName name="Z_0D2B2804_9719_4CF5_836A_6C18EF806972_.wvu.Rows" localSheetId="17" hidden="1">'12'!$6:$13</definedName>
    <definedName name="Z_0D2B2804_9719_4CF5_836A_6C18EF806972_.wvu.Rows" localSheetId="1" hidden="1">'CFT '!$41:$1048576,'CFT '!$1:$1,'CFT '!$35:$38</definedName>
    <definedName name="Z_F51EB4BE_1505_43EE_8F62_937E5A5046CB_.wvu.Cols" localSheetId="34" hidden="1">'Buy off preparation checklist'!$AI:$XFD</definedName>
    <definedName name="Z_F51EB4BE_1505_43EE_8F62_937E5A5046CB_.wvu.Cols" localSheetId="1" hidden="1">'CFT '!$A:$A,'CFT '!$I:$XFD</definedName>
    <definedName name="Z_F51EB4BE_1505_43EE_8F62_937E5A5046CB_.wvu.PrintArea" localSheetId="5" hidden="1">'00'!$A$1:$J$4</definedName>
    <definedName name="Z_F51EB4BE_1505_43EE_8F62_937E5A5046CB_.wvu.PrintArea" localSheetId="6" hidden="1">'01'!$A$1:$J$6</definedName>
    <definedName name="Z_F51EB4BE_1505_43EE_8F62_937E5A5046CB_.wvu.PrintArea" localSheetId="7" hidden="1">'02'!$A$1:$J$6</definedName>
    <definedName name="Z_F51EB4BE_1505_43EE_8F62_937E5A5046CB_.wvu.PrintArea" localSheetId="11" hidden="1">'06'!$A$1:$J$8</definedName>
    <definedName name="Z_F51EB4BE_1505_43EE_8F62_937E5A5046CB_.wvu.PrintArea" localSheetId="12" hidden="1">'07'!$A$1:$J$12</definedName>
    <definedName name="Z_F51EB4BE_1505_43EE_8F62_937E5A5046CB_.wvu.PrintArea" localSheetId="13" hidden="1">'08'!$A$1:$P$14</definedName>
    <definedName name="Z_F51EB4BE_1505_43EE_8F62_937E5A5046CB_.wvu.PrintArea" localSheetId="16" hidden="1">'11'!$A$1:$J$10</definedName>
    <definedName name="Z_F51EB4BE_1505_43EE_8F62_937E5A5046CB_.wvu.PrintArea" localSheetId="20" hidden="1">'14'!$A$1:$J$11</definedName>
    <definedName name="Z_F51EB4BE_1505_43EE_8F62_937E5A5046CB_.wvu.PrintArea" localSheetId="21" hidden="1">'15'!$A$1:$J$6</definedName>
    <definedName name="Z_F51EB4BE_1505_43EE_8F62_937E5A5046CB_.wvu.PrintArea" localSheetId="23" hidden="1">'17'!$A$1:$J$3</definedName>
    <definedName name="Z_F51EB4BE_1505_43EE_8F62_937E5A5046CB_.wvu.PrintArea" localSheetId="25" hidden="1">'19'!$A$1:$J$10</definedName>
    <definedName name="Z_F51EB4BE_1505_43EE_8F62_937E5A5046CB_.wvu.PrintArea" localSheetId="28" hidden="1">'21'!$A$1:$J$6</definedName>
    <definedName name="Z_F51EB4BE_1505_43EE_8F62_937E5A5046CB_.wvu.PrintArea" localSheetId="32" hidden="1">'25'!$A$1:$J$7</definedName>
    <definedName name="Z_F51EB4BE_1505_43EE_8F62_937E5A5046CB_.wvu.PrintArea" localSheetId="2" hidden="1">'Programa APQP'!$A$7:$H$90</definedName>
    <definedName name="Z_F51EB4BE_1505_43EE_8F62_937E5A5046CB_.wvu.PrintArea" localSheetId="18" hidden="1">'Stage 3'!$A$1:$G$36</definedName>
    <definedName name="Z_F51EB4BE_1505_43EE_8F62_937E5A5046CB_.wvu.PrintArea" localSheetId="27" hidden="1">'Stage 4'!$A$1:$G$36</definedName>
    <definedName name="Z_F51EB4BE_1505_43EE_8F62_937E5A5046CB_.wvu.PrintArea" localSheetId="33" hidden="1">'Stage 5'!$A$1:$G$36</definedName>
    <definedName name="Z_F51EB4BE_1505_43EE_8F62_937E5A5046CB_.wvu.PrintArea" localSheetId="4" hidden="1">Stage2!$A$1:$J$24</definedName>
    <definedName name="Z_F51EB4BE_1505_43EE_8F62_937E5A5046CB_.wvu.Rows" localSheetId="8" hidden="1">'03'!#REF!</definedName>
    <definedName name="Z_F51EB4BE_1505_43EE_8F62_937E5A5046CB_.wvu.Rows" localSheetId="14" hidden="1">'09'!#REF!</definedName>
    <definedName name="Z_F51EB4BE_1505_43EE_8F62_937E5A5046CB_.wvu.Rows" localSheetId="15" hidden="1">'10'!#REF!</definedName>
    <definedName name="Z_F51EB4BE_1505_43EE_8F62_937E5A5046CB_.wvu.Rows" localSheetId="17" hidden="1">'12'!$6:$13</definedName>
    <definedName name="Z_F51EB4BE_1505_43EE_8F62_937E5A5046CB_.wvu.Rows" localSheetId="19" hidden="1">'13'!$8:$9</definedName>
    <definedName name="Z_F51EB4BE_1505_43EE_8F62_937E5A5046CB_.wvu.Rows" localSheetId="1" hidden="1">'CFT '!$39:$1048576,'CFT '!$1:$1,'CFT '!$35:$38</definedName>
  </definedNames>
  <calcPr calcId="191029"/>
  <customWorkbookViews>
    <customWorkbookView name="Andrea Herrera - Personal View" guid="{0D2B2804-9719-4CF5-836A-6C18EF806972}" mergeInterval="0" personalView="1" maximized="1" xWindow="1358" yWindow="-8" windowWidth="1616" windowHeight="876" tabRatio="871" activeSheetId="27"/>
    <customWorkbookView name="1" guid="{F51EB4BE-1505-43EE-8F62-937E5A5046CB}" maximized="1" xWindow="-8" yWindow="-8" windowWidth="1382" windowHeight="744" tabRatio="833" activeSheetId="4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26" l="1"/>
  <c r="H85" i="26" l="1"/>
  <c r="H79" i="26"/>
  <c r="F7" i="62"/>
  <c r="F7" i="61"/>
  <c r="G39" i="26"/>
  <c r="G60" i="26" l="1"/>
  <c r="G64" i="26"/>
  <c r="G66" i="26"/>
  <c r="G62" i="26" s="1"/>
  <c r="G41" i="26" l="1"/>
  <c r="G31" i="26"/>
  <c r="G28" i="26" s="1"/>
  <c r="G33" i="26"/>
  <c r="G49" i="26"/>
  <c r="G35" i="26"/>
  <c r="G51" i="26"/>
  <c r="I35" i="26"/>
  <c r="I33" i="26"/>
  <c r="I28" i="26"/>
  <c r="I24" i="26"/>
  <c r="I39" i="26"/>
  <c r="G10" i="26" l="1"/>
  <c r="G12" i="26"/>
  <c r="G16" i="26"/>
  <c r="G20" i="26"/>
  <c r="G22" i="26"/>
  <c r="G24" i="26"/>
  <c r="G26" i="26"/>
  <c r="G14" i="26"/>
  <c r="G18" i="26"/>
  <c r="A39" i="66"/>
  <c r="G8" i="66"/>
  <c r="I10" i="26"/>
  <c r="I12" i="26"/>
  <c r="I14" i="26"/>
  <c r="I16" i="26"/>
  <c r="I18" i="26"/>
  <c r="I79" i="26"/>
  <c r="I81" i="26"/>
  <c r="I83" i="26"/>
  <c r="I85" i="26"/>
  <c r="I87" i="26"/>
  <c r="I89" i="26"/>
  <c r="I78" i="26" l="1"/>
  <c r="I91" i="26"/>
  <c r="I59" i="26"/>
  <c r="J10" i="26"/>
  <c r="J47" i="26"/>
  <c r="J57" i="26"/>
  <c r="J35" i="26" l="1"/>
  <c r="J55" i="26"/>
  <c r="J53" i="26"/>
  <c r="J51" i="26"/>
  <c r="J49" i="26"/>
  <c r="J45" i="26"/>
  <c r="J43" i="26"/>
  <c r="J41" i="26"/>
  <c r="J39" i="26"/>
  <c r="J37" i="26"/>
  <c r="J33" i="26"/>
  <c r="J28" i="26"/>
  <c r="J26" i="26"/>
  <c r="J24" i="26"/>
  <c r="J22" i="26"/>
  <c r="J20" i="26"/>
  <c r="J16" i="26"/>
  <c r="J14" i="26"/>
  <c r="J12" i="26"/>
  <c r="J31" i="26" l="1"/>
  <c r="J59" i="26" s="1"/>
  <c r="J18" i="26"/>
  <c r="J89" i="26"/>
  <c r="J85" i="26"/>
  <c r="J83" i="26"/>
  <c r="J81" i="26"/>
  <c r="J87" i="26" l="1"/>
  <c r="J30" i="26"/>
  <c r="J79" i="26" l="1"/>
  <c r="J91" i="26" s="1"/>
  <c r="J76" i="26"/>
  <c r="J74" i="26"/>
  <c r="J72" i="26"/>
  <c r="J70" i="26"/>
  <c r="J68" i="26"/>
  <c r="J66" i="26"/>
  <c r="J64" i="26"/>
  <c r="J62" i="26"/>
  <c r="J60" i="26"/>
  <c r="H74" i="26"/>
  <c r="G13" i="65"/>
  <c r="G11" i="65"/>
  <c r="G10" i="65"/>
  <c r="G9" i="65"/>
  <c r="G8" i="65"/>
  <c r="G7" i="65"/>
  <c r="G6" i="65"/>
  <c r="G5" i="65"/>
  <c r="G4" i="65"/>
  <c r="G3" i="65"/>
  <c r="G13" i="8"/>
  <c r="J78" i="26" l="1"/>
  <c r="F7" i="26"/>
  <c r="G4" i="33"/>
  <c r="G5" i="9" l="1"/>
  <c r="G14" i="11" l="1"/>
  <c r="G15" i="10"/>
  <c r="G9" i="10" l="1"/>
  <c r="G10" i="10"/>
  <c r="G11" i="10"/>
  <c r="G12" i="10"/>
  <c r="G13" i="10"/>
  <c r="G14" i="10"/>
  <c r="G7" i="8"/>
  <c r="G5" i="8"/>
  <c r="G6" i="7"/>
  <c r="G13" i="42" l="1"/>
  <c r="G11" i="42"/>
  <c r="G9" i="42"/>
  <c r="G4" i="42"/>
  <c r="H55" i="26" l="1"/>
  <c r="F36" i="61" l="1"/>
  <c r="F36" i="63"/>
  <c r="F36" i="62"/>
  <c r="B1" i="42" l="1"/>
  <c r="G6" i="1" l="1"/>
  <c r="G5" i="1"/>
  <c r="F8" i="26" l="1"/>
  <c r="G10" i="64" l="1"/>
  <c r="G9" i="64"/>
  <c r="G8" i="64"/>
  <c r="G7" i="64"/>
  <c r="G6" i="64"/>
  <c r="G5" i="64"/>
  <c r="G4" i="64"/>
  <c r="G3" i="64"/>
  <c r="G4" i="22"/>
  <c r="G3" i="22"/>
  <c r="G21" i="20"/>
  <c r="G20" i="20"/>
  <c r="G19" i="20"/>
  <c r="G8" i="19"/>
  <c r="G9" i="19"/>
  <c r="G7" i="19"/>
  <c r="F7" i="63" l="1"/>
  <c r="D7" i="63"/>
  <c r="D6" i="63"/>
  <c r="D7" i="62"/>
  <c r="D6" i="62"/>
  <c r="D7" i="61"/>
  <c r="D6" i="61"/>
  <c r="G12" i="59" l="1"/>
  <c r="G11" i="59"/>
  <c r="G9" i="59"/>
  <c r="G10" i="59"/>
  <c r="G8" i="59"/>
  <c r="G7" i="59"/>
  <c r="G6" i="59"/>
  <c r="G7" i="11"/>
  <c r="G5" i="59"/>
  <c r="G11" i="8" l="1"/>
  <c r="G7" i="15"/>
  <c r="G6" i="14"/>
  <c r="G4" i="17" l="1"/>
  <c r="G5" i="17"/>
  <c r="G3" i="17"/>
  <c r="G5" i="15" l="1"/>
  <c r="G5" i="14" l="1"/>
  <c r="G8" i="10" l="1"/>
  <c r="G13" i="11" l="1"/>
  <c r="G4" i="11" l="1"/>
  <c r="G3" i="16" l="1"/>
  <c r="G8" i="8" l="1"/>
  <c r="G4" i="8"/>
  <c r="G5" i="7"/>
  <c r="G3" i="52" l="1"/>
  <c r="G4" i="52"/>
  <c r="G23" i="42"/>
  <c r="G16" i="42"/>
  <c r="G17" i="42"/>
  <c r="G18" i="42"/>
  <c r="G15" i="42"/>
  <c r="G20" i="42"/>
  <c r="H89" i="26"/>
  <c r="H87" i="26"/>
  <c r="H83" i="26"/>
  <c r="H81" i="26"/>
  <c r="H76" i="26"/>
  <c r="H72" i="26"/>
  <c r="H70" i="26"/>
  <c r="H68" i="26"/>
  <c r="H66" i="26"/>
  <c r="H64" i="26"/>
  <c r="H62" i="26"/>
  <c r="H60" i="26"/>
  <c r="H57" i="26"/>
  <c r="H53" i="26"/>
  <c r="H51" i="26"/>
  <c r="H49" i="26"/>
  <c r="H47" i="26"/>
  <c r="H45" i="26"/>
  <c r="H43" i="26"/>
  <c r="H41" i="26"/>
  <c r="H39" i="26"/>
  <c r="H37" i="26"/>
  <c r="H33" i="26"/>
  <c r="H31" i="26"/>
  <c r="H28" i="26"/>
  <c r="H26" i="26"/>
  <c r="H24" i="26"/>
  <c r="H22" i="26"/>
  <c r="H20" i="26"/>
  <c r="H18" i="26"/>
  <c r="H16" i="26"/>
  <c r="H14" i="26"/>
  <c r="H12" i="26"/>
  <c r="H10" i="26"/>
  <c r="Y5" i="40"/>
  <c r="O3" i="40"/>
  <c r="H3" i="40"/>
  <c r="C3" i="40"/>
  <c r="D9" i="35"/>
  <c r="G7" i="33"/>
  <c r="G3" i="33"/>
  <c r="G4" i="1"/>
  <c r="G3" i="1"/>
  <c r="G4" i="3"/>
  <c r="G3" i="3"/>
  <c r="G4" i="4"/>
  <c r="G5" i="4"/>
  <c r="G6" i="4"/>
  <c r="G3" i="4"/>
  <c r="G4" i="20"/>
  <c r="G5" i="20"/>
  <c r="G6" i="20"/>
  <c r="G7" i="20"/>
  <c r="G8" i="20"/>
  <c r="G9" i="20"/>
  <c r="G10" i="20"/>
  <c r="G11" i="20"/>
  <c r="G12" i="20"/>
  <c r="G13" i="20"/>
  <c r="G14" i="20"/>
  <c r="G15" i="20"/>
  <c r="G16" i="20"/>
  <c r="G17" i="20"/>
  <c r="G18" i="20"/>
  <c r="G3" i="20"/>
  <c r="G3" i="19"/>
  <c r="G4" i="19"/>
  <c r="G5" i="19"/>
  <c r="G6" i="19"/>
  <c r="G3" i="18"/>
  <c r="G4" i="18"/>
  <c r="G5" i="18"/>
  <c r="G6" i="18"/>
  <c r="G7" i="18"/>
  <c r="G8" i="18"/>
  <c r="G9" i="18"/>
  <c r="G10" i="18"/>
  <c r="G11" i="18"/>
  <c r="G3" i="15"/>
  <c r="G4" i="15"/>
  <c r="G6" i="15"/>
  <c r="G4" i="14"/>
  <c r="G3" i="14"/>
  <c r="G5" i="11"/>
  <c r="G6" i="11"/>
  <c r="G8" i="11"/>
  <c r="G9" i="11"/>
  <c r="G10" i="11"/>
  <c r="G11" i="11"/>
  <c r="G12" i="11"/>
  <c r="G3" i="11"/>
  <c r="G4" i="10"/>
  <c r="G5" i="10"/>
  <c r="G6" i="10"/>
  <c r="G7" i="10"/>
  <c r="G3" i="10"/>
  <c r="G4" i="9"/>
  <c r="G3" i="9"/>
  <c r="G3" i="8"/>
  <c r="G6" i="8"/>
  <c r="G9" i="8"/>
  <c r="G10" i="8"/>
  <c r="G4" i="7"/>
  <c r="G3" i="7"/>
  <c r="G4" i="6"/>
  <c r="G5" i="6"/>
  <c r="G6" i="6"/>
  <c r="G3" i="6"/>
  <c r="G4" i="5"/>
  <c r="G5" i="5"/>
  <c r="G6" i="5"/>
  <c r="G3" i="5"/>
  <c r="C7" i="17"/>
  <c r="C8" i="17"/>
  <c r="C9" i="17"/>
  <c r="C10" i="17"/>
  <c r="C11" i="17"/>
  <c r="C12" i="17"/>
  <c r="C6" i="17"/>
  <c r="Y3" i="40" l="1"/>
  <c r="C13" i="17"/>
  <c r="Y4"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Andrea Herrera</author>
  </authors>
  <commentList>
    <comment ref="B9" authorId="0" shapeId="0" xr:uid="{00000000-0006-0000-0000-000001000000}">
      <text>
        <r>
          <rPr>
            <b/>
            <sz val="9"/>
            <color indexed="81"/>
            <rFont val="Tahoma"/>
            <family val="2"/>
          </rPr>
          <t>Andrea Herrera:</t>
        </r>
        <r>
          <rPr>
            <sz val="9"/>
            <color indexed="81"/>
            <rFont val="Tahoma"/>
            <family val="2"/>
          </rPr>
          <t xml:space="preserve">
SIN ESPACIOS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Juan Bailon</author>
  </authors>
  <commentList>
    <comment ref="D10" authorId="0" shapeId="0" xr:uid="{00000000-0006-0000-0100-000001000000}">
      <text>
        <r>
          <rPr>
            <b/>
            <sz val="9"/>
            <color indexed="81"/>
            <rFont val="Tahoma"/>
            <family val="2"/>
          </rPr>
          <t>Andrea Herrera:</t>
        </r>
        <r>
          <rPr>
            <sz val="9"/>
            <color indexed="81"/>
            <rFont val="Tahoma"/>
            <family val="2"/>
          </rPr>
          <t xml:space="preserve">
Mínimo de información requerida de etapas previas (Centro de Diseño) / Minimum information required from previous stages (Design Center).</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<sst xmlns="http://schemas.openxmlformats.org/spreadsheetml/2006/main" count="2201" uniqueCount="771">
  <si>
    <t>No</t>
  </si>
  <si>
    <t>N/A</t>
  </si>
  <si>
    <t>F8230D SPC
F8222 LPA</t>
  </si>
  <si>
    <t>F7511</t>
  </si>
  <si>
    <t>F7332B</t>
  </si>
  <si>
    <t>F7360</t>
  </si>
  <si>
    <t xml:space="preserve">F5620B
F8510
</t>
  </si>
  <si>
    <t>F8231 Pre-SPC</t>
  </si>
  <si>
    <t>Champion</t>
  </si>
  <si>
    <t>Plan</t>
  </si>
  <si>
    <t>Real</t>
  </si>
  <si>
    <t>PE</t>
  </si>
  <si>
    <t>QE</t>
  </si>
  <si>
    <t>QE/PE</t>
  </si>
  <si>
    <t>0.6- PFMEA</t>
  </si>
  <si>
    <t>3.13, 3.14</t>
  </si>
  <si>
    <t>4.4, 4.6, 5.4</t>
  </si>
  <si>
    <t>4.7, 5.5</t>
  </si>
  <si>
    <t>4.8, 5.6</t>
  </si>
  <si>
    <t>F7332
F7514G</t>
  </si>
  <si>
    <t>F7311F</t>
  </si>
  <si>
    <t>WCAL-110803 ANOVA
F7600B L&amp;S
F7600F
Atributos</t>
  </si>
  <si>
    <t>X</t>
  </si>
  <si>
    <t>Entregables/
Deliverables</t>
  </si>
  <si>
    <t>Fecha de PPAP / PPAP Date:</t>
  </si>
  <si>
    <t>Nombre del proyecto / Project name:</t>
  </si>
  <si>
    <t>Número de parte / Part number:</t>
  </si>
  <si>
    <t>Cliente / Customer:</t>
  </si>
  <si>
    <t>Aplicación / Application:</t>
  </si>
  <si>
    <t>Producto / Product:</t>
  </si>
  <si>
    <t>Inicia / Start:</t>
  </si>
  <si>
    <t>Termina / End:</t>
  </si>
  <si>
    <t>Fecha de SOP / SOP Date:</t>
  </si>
  <si>
    <t>Etapas / Stages (APQP)</t>
  </si>
  <si>
    <t>Entregables / Deliverables</t>
  </si>
  <si>
    <t>DFMEA:</t>
  </si>
  <si>
    <t>Razón de la Revisión / Revision Reason:</t>
  </si>
  <si>
    <t>Equipo multifuncional / CFT (JE Global and internal):</t>
  </si>
  <si>
    <t>Dibujos / Drawings:</t>
  </si>
  <si>
    <t>Manual de Proveedor / Customer Supplier Manual</t>
  </si>
  <si>
    <t>Lista preliminar de características del cliente / Preliminary Customer Characteristics List:</t>
  </si>
  <si>
    <t>Control  de entregables / Delivereables control:</t>
  </si>
  <si>
    <t>01.- Especificaciones de empaque / Packaging specifications</t>
  </si>
  <si>
    <t>03.- Diagrama de flujo de proceso / Process Flow Chart:</t>
  </si>
  <si>
    <t>04.- Disposición de piso / Floor plan layout:</t>
  </si>
  <si>
    <t>08.- Instrucciones de trabajo / WI</t>
  </si>
  <si>
    <t>11.- Soporte gerencial / Management Support:</t>
  </si>
  <si>
    <t>Revisión de etapa (línea en México) / Stage Revision (line in Mexico):</t>
  </si>
  <si>
    <t>Revisión de etapa / Stage Revision</t>
  </si>
  <si>
    <t>ETAPA 4 / STAGE 4</t>
  </si>
  <si>
    <t>ETAPA 5 / STAGE 5</t>
  </si>
  <si>
    <t>Calificación / Score</t>
  </si>
  <si>
    <t>Observaciones / Remarks</t>
  </si>
  <si>
    <t>02.-Cambios en el SGC para fabricar el producto / Changes in the QMS for product manufacturing:</t>
  </si>
  <si>
    <t>05.- Matriz de características / Characteristics Matrix</t>
  </si>
  <si>
    <t>09.- Plan de Análisis del Sistema de Medición / MSA Plan</t>
  </si>
  <si>
    <t>10.- Plan para el Control Estadístico de Proceso / SPC Plan:</t>
  </si>
  <si>
    <t>Comentarios/Acción requerida / Comments/Action required</t>
  </si>
  <si>
    <t>Si / Yes</t>
  </si>
  <si>
    <t>Responsable / Responsible</t>
  </si>
  <si>
    <t>Fecha / Date</t>
  </si>
  <si>
    <t>Requisito / Requirement</t>
  </si>
  <si>
    <t>07.- Plan de Control de pre-lanzamiento / Pre-launch Control Plan</t>
  </si>
  <si>
    <t>Solicitar los siguientes formatos a DCC / Request DCC the following formats</t>
  </si>
  <si>
    <t>F7512A WI
7512B II
F7514M PMWI
F7512B QICL
F8530 VA</t>
  </si>
  <si>
    <t>En la gráfica operador contra muestra no se denotan interacciones grandes entre el usuario y la pieza? / In the appraiser vs part chart, is it shown a big interaction between them?</t>
  </si>
  <si>
    <t xml:space="preserve"> La gráfica de mediciones entre operadores no muestra variaciones importantes? / Does the measurements between appraisers chart show significant variation? </t>
  </si>
  <si>
    <t>Buy off Checklist</t>
  </si>
  <si>
    <t>BU:</t>
  </si>
  <si>
    <t>Part number / Tool / Line:</t>
  </si>
  <si>
    <t>Review &amp; Approved PE:</t>
  </si>
  <si>
    <t>Champion:</t>
  </si>
  <si>
    <t>Asset / Serial Number:</t>
  </si>
  <si>
    <t>Review &amp; Approved QE:</t>
  </si>
  <si>
    <t>Creation:</t>
  </si>
  <si>
    <t>Type of Equipment/Line:</t>
  </si>
  <si>
    <t>Review &amp; Approved LM:</t>
  </si>
  <si>
    <t>Categories</t>
  </si>
  <si>
    <t>Description</t>
  </si>
  <si>
    <t>Abbreviation</t>
  </si>
  <si>
    <t>Priority level</t>
  </si>
  <si>
    <t>Accountability</t>
  </si>
  <si>
    <t>CnS Applicable</t>
  </si>
  <si>
    <t>FINAL ASSEMBLY Applicable</t>
  </si>
  <si>
    <t>Advanced receiving</t>
  </si>
  <si>
    <t>Counterpart contact</t>
  </si>
  <si>
    <t>Sub-criteria</t>
  </si>
  <si>
    <t>Status in %</t>
  </si>
  <si>
    <t>Business Development 
Management (BDM)</t>
  </si>
  <si>
    <t>SDE/SQA (SQE Director)</t>
  </si>
  <si>
    <t>Finance/Controller</t>
  </si>
  <si>
    <t>COE Expert</t>
  </si>
  <si>
    <t>Project / Program Mgr.
/Director (PjM)</t>
  </si>
  <si>
    <t>Engineering Manager (EM)</t>
  </si>
  <si>
    <t>Design Eng.(DE)</t>
  </si>
  <si>
    <t>Process Engineering (PsE)</t>
  </si>
  <si>
    <t>Production Engineering (PE)</t>
  </si>
  <si>
    <t>Quality &amp; Reliability (QE)</t>
  </si>
  <si>
    <t>Preventive Maintenance</t>
  </si>
  <si>
    <t>Order Management 
Centre (OMC)</t>
  </si>
  <si>
    <t>Production Material 
Control (PMC)</t>
  </si>
  <si>
    <t>Test Engineering</t>
  </si>
  <si>
    <t>Logistic</t>
  </si>
  <si>
    <t>Process</t>
  </si>
  <si>
    <t>Bill of Material</t>
  </si>
  <si>
    <t>BOM</t>
  </si>
  <si>
    <t>High</t>
  </si>
  <si>
    <t>R</t>
  </si>
  <si>
    <t>Yes</t>
  </si>
  <si>
    <t>TBD</t>
  </si>
  <si>
    <t>a) actual and unique BOM list
b) responsible person (Engineering, Planning); CFT Team 
c) check BOM with existing condition
d) BOM must be revised in advance
e) aligned with drawing</t>
  </si>
  <si>
    <t>Legend:</t>
  </si>
  <si>
    <t xml:space="preserve">R - Responsible; For actually doing
C - Consulted; Provide consultation and assistance
</t>
  </si>
  <si>
    <t>Product</t>
  </si>
  <si>
    <t>Drawings</t>
  </si>
  <si>
    <t>a) collect official drawing from DCC
b) set up receiving site users/access
c) outline, subassembly, components</t>
  </si>
  <si>
    <t>Product and Process Special Characteristics Matrix</t>
  </si>
  <si>
    <t>SX Matrix</t>
  </si>
  <si>
    <t xml:space="preserve">Medium </t>
  </si>
  <si>
    <t>a) KPC must be according to outline drawing
b) verification of SPC points</t>
  </si>
  <si>
    <t>Design Failure Mode and Effect Analysis</t>
  </si>
  <si>
    <t>DFMEA</t>
  </si>
  <si>
    <t>C</t>
  </si>
  <si>
    <t>Operation Sheet</t>
  </si>
  <si>
    <t>OS</t>
  </si>
  <si>
    <t>/</t>
  </si>
  <si>
    <t>Specification Card</t>
  </si>
  <si>
    <t>SC</t>
  </si>
  <si>
    <t>Production Routing</t>
  </si>
  <si>
    <t>ERP</t>
  </si>
  <si>
    <t>Process Manual</t>
  </si>
  <si>
    <t>PM</t>
  </si>
  <si>
    <t>a) check PM revision
b) check PM actuality by depending  Buy off line
c) check specification, process name etc. with related documents</t>
  </si>
  <si>
    <t>Process Failure Mode and Effect Analysis</t>
  </si>
  <si>
    <t>PFMEA</t>
  </si>
  <si>
    <t>a) check actuality of PFMEA 
b) check specification, process name etc. with related documents</t>
  </si>
  <si>
    <t>Process Flow Chart</t>
  </si>
  <si>
    <t>PFC</t>
  </si>
  <si>
    <t>a) check PFC revision
b) check PFC actuality by depending with Buy off line
c) check specification, process name etc. with related documents</t>
  </si>
  <si>
    <t>Quality</t>
  </si>
  <si>
    <t>Test Operation Instruction</t>
  </si>
  <si>
    <t>TOI</t>
  </si>
  <si>
    <t>Outgoing Inspection Standard</t>
  </si>
  <si>
    <t>OIS</t>
  </si>
  <si>
    <t xml:space="preserve">a) check actuality
b) check specification, process name etc. with related documents
</t>
  </si>
  <si>
    <t>Lessons learned/One Point Lecture</t>
  </si>
  <si>
    <t>OPL</t>
  </si>
  <si>
    <t xml:space="preserve">
a) check implementation
</t>
  </si>
  <si>
    <t>Quality Work Instruction</t>
  </si>
  <si>
    <t>QWI</t>
  </si>
  <si>
    <t>a) check actuality of QWI</t>
  </si>
  <si>
    <t>Process Control Plan</t>
  </si>
  <si>
    <t>PCP</t>
  </si>
  <si>
    <t>a) check PCP revision
b) check PCP actuality by depending with Buy off line
c) check specification, process name etc. with related documents</t>
  </si>
  <si>
    <t>Preventive Maintenance  Work Instruction and PM Card</t>
  </si>
  <si>
    <t>PMWI / PMCard</t>
  </si>
  <si>
    <t>a) check PMWI by depending with Buy off line</t>
  </si>
  <si>
    <t>SWS</t>
  </si>
  <si>
    <t>a) check actuality by depending with Buy off line</t>
  </si>
  <si>
    <t>Equipment check list for Operator</t>
  </si>
  <si>
    <t>TPM</t>
  </si>
  <si>
    <t>Machine/Tool/Fixture</t>
  </si>
  <si>
    <t xml:space="preserve">Should Be Condition </t>
  </si>
  <si>
    <t>SBC</t>
  </si>
  <si>
    <t>a) check should be condition content
b) available and signed should be condition check list</t>
  </si>
  <si>
    <t>Validation</t>
  </si>
  <si>
    <t>Sample Evaluation Report</t>
  </si>
  <si>
    <t>SER</t>
  </si>
  <si>
    <t>a) check  sample evaluation report for related parts (Buy off)</t>
  </si>
  <si>
    <t>Process Capability Study</t>
  </si>
  <si>
    <t>PPK/CPK</t>
  </si>
  <si>
    <t>a) according requirements
b) involvement od Serbian team during study</t>
  </si>
  <si>
    <t>Process verification (trial run) report</t>
  </si>
  <si>
    <t>PV1 report</t>
  </si>
  <si>
    <t>Pilot Run/R@R Report</t>
  </si>
  <si>
    <t xml:space="preserve">a) minimum 8 hours (assembly only)
b) CT/TT achieved 
c) Overall equipment effectiveness
d) produced motors - scrap or to be delivered in Serbia
</t>
  </si>
  <si>
    <t>Part Production Approval Process</t>
  </si>
  <si>
    <t>PPAP</t>
  </si>
  <si>
    <t>Process Engineering Work Instruction</t>
  </si>
  <si>
    <t>PEWI</t>
  </si>
  <si>
    <t>a) check PEWI by depending with Buy off line
b) m/c fusing/welding parameters</t>
  </si>
  <si>
    <t>In Process Control</t>
  </si>
  <si>
    <t>IPC</t>
  </si>
  <si>
    <t>a) check IPC revision
b) check IFC actuality by depending with Buy off line
c) check specification, process name etc. with related documents</t>
  </si>
  <si>
    <t>Machine Setting Report</t>
  </si>
  <si>
    <t>MSR</t>
  </si>
  <si>
    <t>a) check MSR by depending with Buy off line
b) MSR must be signed by Buy off team
c) MSR must be freezed
d) check specification, process name etc. with related documents
e) define all parameters, parameter tolerance
f) DSC analysis after freezing MSR</t>
  </si>
  <si>
    <t>Engineering Standard Document Control</t>
  </si>
  <si>
    <t>ESDC</t>
  </si>
  <si>
    <t>Machine Operating Instruction</t>
  </si>
  <si>
    <t>MOI</t>
  </si>
  <si>
    <t>a) not applicable if m/c the same type
b) check MOI by depending with Buy off line</t>
  </si>
  <si>
    <t>Measuring</t>
  </si>
  <si>
    <t>Measurement System Analysis</t>
  </si>
  <si>
    <t>MSA</t>
  </si>
  <si>
    <t xml:space="preserve">a) check MSA results for related measuring equipment
b) collect MSA Plan
</t>
  </si>
  <si>
    <t>Quality Control Check List</t>
  </si>
  <si>
    <t>QCCL</t>
  </si>
  <si>
    <t>a) verify drawing revision from QCCL to DCC</t>
  </si>
  <si>
    <t xml:space="preserve">Gauge Drawing </t>
  </si>
  <si>
    <t>a) collect all gauge drawing during Buy off (Quality/Process)</t>
  </si>
  <si>
    <t xml:space="preserve">Measuring Equipment  Calibration Report </t>
  </si>
  <si>
    <t>a) collect all gauge calibration reports during Buy off
b) frequency, expiring date</t>
  </si>
  <si>
    <t>Visual Inspection Criteria/Aids</t>
  </si>
  <si>
    <t>VIC</t>
  </si>
  <si>
    <t>a) check VIC content (must be clear)
b) English version</t>
  </si>
  <si>
    <t>Master Defect Sample</t>
  </si>
  <si>
    <t>a) collect and check functionality of all MDS
b) ensure sending of samples</t>
  </si>
  <si>
    <t>Customer Claims List</t>
  </si>
  <si>
    <t>a) collect Customer Claims list with related 8-D reports (last 5 years)</t>
  </si>
  <si>
    <t>Measuring equipment list</t>
  </si>
  <si>
    <t>a) check measuring equipment list before their packing
b) all measuring equipment according control plan</t>
  </si>
  <si>
    <t>Materials</t>
  </si>
  <si>
    <t xml:space="preserve">Raw Material Data Sheet </t>
  </si>
  <si>
    <t xml:space="preserve">a) check availability of DS during Buy off
b) check Raw Material DS actuality (revision)
c) check material supplier (during Buy off production)
</t>
  </si>
  <si>
    <t>Complete material composition used during Buy off</t>
  </si>
  <si>
    <t xml:space="preserve">a) check material lot No (plastic)
b) take raw material samples (plastic/steel/rubber/chemicals)
</t>
  </si>
  <si>
    <t>User Manuals</t>
  </si>
  <si>
    <t>a) must be available with Buy off
b) define content of manual (spare part list, assembly drawing, exploded view, troubleshooting, preventive maintenance, maintenance material, tools, electro scheme, should be condition, safety instructions, control box flow-chart)
c) split list on m/c, tool, fixture additional equipment</t>
  </si>
  <si>
    <t>Spare Part Lists</t>
  </si>
  <si>
    <t>a) which part we exchange, where is exchanged
b) time for changing
c) quantity of SP
d) at least 12 months
e) split list on m/c, tool, fixture additional equipment
g) provide information if tool is from external supplier</t>
  </si>
  <si>
    <t>Modification of m/c after Buy off</t>
  </si>
  <si>
    <t xml:space="preserve">a) any modification is NOT ALLOWED
b) require new Buy off if there is any modification
</t>
  </si>
  <si>
    <t xml:space="preserve">Machine Qualification Report </t>
  </si>
  <si>
    <t>a) mandatory either machine is produced by JE or external supplier</t>
  </si>
  <si>
    <t>Tooling Assembly Drawing</t>
  </si>
  <si>
    <t>M/C , Fixture Assembly Drawing</t>
  </si>
  <si>
    <t>PLC programs/codes</t>
  </si>
  <si>
    <t>a) mandatory English version 
b) available in Europe</t>
  </si>
  <si>
    <t xml:space="preserve"> M/C, fixtures, tooling incident history</t>
  </si>
  <si>
    <t xml:space="preserve">Preventive Maintenance records </t>
  </si>
  <si>
    <t>a) PM records from last 12 months translated into English</t>
  </si>
  <si>
    <t>Spare M/C, fixtures, tooling for changeover, overhauling</t>
  </si>
  <si>
    <t>Spare Part kit for 6 months (Tooling, M/C, Fixture)</t>
  </si>
  <si>
    <t>Detailed Packing List (M/C, Fixtures, spare parts...)</t>
  </si>
  <si>
    <t xml:space="preserve">a) check packing list with shipment
b) collect serial No of equipment/tools
c) compare with inventory list (packing list)
d) new one or used?
e) are the same people are responsible for packing and unpacking
</t>
  </si>
  <si>
    <t>Defect rate/Parts Per Milion
First Pass Yield</t>
  </si>
  <si>
    <t>Defective rate/PPM/FPY</t>
  </si>
  <si>
    <t>a) top defects
b) defect history
c) most critical stations</t>
  </si>
  <si>
    <t xml:space="preserve">Qualification of operators </t>
  </si>
  <si>
    <t>a) check matrix of qualification</t>
  </si>
  <si>
    <t>Packing instruction for final goods</t>
  </si>
  <si>
    <t xml:space="preserve">a) check and define packing instruction for land/sea transport
</t>
  </si>
  <si>
    <t>Consumables drawing</t>
  </si>
  <si>
    <t>a) material specification (electrode, knifes, glue bottles, cleaning brushes etc.)</t>
  </si>
  <si>
    <t>Poka Yoke list</t>
  </si>
  <si>
    <t>Last process audit/customer audit for Buy of line</t>
  </si>
  <si>
    <t>a) example of process/product audit plan for Buy off P/N</t>
  </si>
  <si>
    <t xml:space="preserve">Interview master </t>
  </si>
  <si>
    <t>Run VDA 6.3 audit on Buy off line</t>
  </si>
  <si>
    <t>a) system audit
b) product audit</t>
  </si>
  <si>
    <t>Identify all offline processes</t>
  </si>
  <si>
    <t>Detail CnS tools Buy off Schedule</t>
  </si>
  <si>
    <t>a) must include combination matrix if the tool shared with other P/N</t>
  </si>
  <si>
    <t>Preventive maintenance plan</t>
  </si>
  <si>
    <t>Material Safety Data Sheet/Technical Data Sheet (chemical material)</t>
  </si>
  <si>
    <t>MSDS/TDS</t>
  </si>
  <si>
    <t>a) English translation
b) not mandatory</t>
  </si>
  <si>
    <t>Technical requirements for line installing (ESD protection, water cooling, air exhausting, liquid and dust disposal...)</t>
  </si>
  <si>
    <t>a) review manufacturing handbook</t>
  </si>
  <si>
    <t>Change Management</t>
  </si>
  <si>
    <t>CM</t>
  </si>
  <si>
    <t>a) Collect CR list of on going changes and separate what can be done immediately/later</t>
  </si>
  <si>
    <t>Internal Deviation Approval list</t>
  </si>
  <si>
    <t>Procedure/List of permitted reworks</t>
  </si>
  <si>
    <t xml:space="preserve">Safety Audit </t>
  </si>
  <si>
    <t>a) Audit Buy off line</t>
  </si>
  <si>
    <t>Changeover/Machine set up</t>
  </si>
  <si>
    <t xml:space="preserve">a) all set up by gauge, dummy or clear indicator on machine
b) NO set up by experience allowed
c) test of all different change overs/set up during buy off to verify instruction, gauges
</t>
  </si>
  <si>
    <t>Escalation</t>
  </si>
  <si>
    <t>a) machine left PRC without authorization</t>
  </si>
  <si>
    <t>Comparison parameters</t>
  </si>
  <si>
    <t>Maintenance Consumption Parts Periodic Replace Frequency List</t>
  </si>
  <si>
    <t>Customer requirements</t>
  </si>
  <si>
    <t>General Procedure 12</t>
  </si>
  <si>
    <t>GP12</t>
  </si>
  <si>
    <t>Early Production Containment Control Plan</t>
  </si>
  <si>
    <t>EPCCP</t>
  </si>
  <si>
    <t>Project BU:</t>
  </si>
  <si>
    <t>Project name:</t>
  </si>
  <si>
    <t>Line:</t>
  </si>
  <si>
    <t>Manufacturing site</t>
  </si>
  <si>
    <t>Transfering site</t>
  </si>
  <si>
    <t>Name</t>
  </si>
  <si>
    <t>Email</t>
  </si>
  <si>
    <t>Project leader:</t>
  </si>
  <si>
    <t>Program Manager:</t>
  </si>
  <si>
    <t>Project Engineer:</t>
  </si>
  <si>
    <t>Design Engineer:</t>
  </si>
  <si>
    <t>Process Engineer:</t>
  </si>
  <si>
    <t>Quality Engineer:</t>
  </si>
  <si>
    <t>SCS Procurement:</t>
  </si>
  <si>
    <t>SCS Purchasing:</t>
  </si>
  <si>
    <t>EHS Representative:</t>
  </si>
  <si>
    <t>Finance rep:</t>
  </si>
  <si>
    <t>Foreign trade compliance</t>
  </si>
  <si>
    <t>Manufacturing site Management</t>
  </si>
  <si>
    <t>Others (add as needed)</t>
  </si>
  <si>
    <t>Operations Manager:</t>
  </si>
  <si>
    <t>Quality Manager:</t>
  </si>
  <si>
    <t>Materials Manager:</t>
  </si>
  <si>
    <t>SCS Manager:</t>
  </si>
  <si>
    <t>HR Manager:</t>
  </si>
  <si>
    <t>Status.</t>
  </si>
  <si>
    <t>Puntos de JEPDS aplicables / JEPDS applicable items.</t>
  </si>
  <si>
    <t>ETAPA 2 / STAGE 2</t>
  </si>
  <si>
    <t>Día de inicio de producción / SOP date:</t>
  </si>
  <si>
    <t>Cliente/Customer:</t>
  </si>
  <si>
    <t>Fecha/Date:</t>
  </si>
  <si>
    <t>Si/Yes</t>
  </si>
  <si>
    <t>Requerimiento/Requirement</t>
  </si>
  <si>
    <t>Comentarios/Comments</t>
  </si>
  <si>
    <t>Comentarios /Comments</t>
  </si>
  <si>
    <t>Cierre/
Close</t>
  </si>
  <si>
    <t>El proyecto puede cerrarse.</t>
  </si>
  <si>
    <t>Abierto/
Open</t>
  </si>
  <si>
    <t>La evidencia de cierre no es suficiente, la revisión necesita reprogramarse</t>
  </si>
  <si>
    <t>Aprobaciones/Approvals:</t>
  </si>
  <si>
    <t>Position</t>
  </si>
  <si>
    <t>Conclusión / Conclusion</t>
  </si>
  <si>
    <t>Desviación /
Deviation</t>
  </si>
  <si>
    <t>Lecciones aprendidas/ Lessons learned.</t>
  </si>
  <si>
    <t>12.- Reclamos de cliente / Customer concerns.</t>
  </si>
  <si>
    <t>DECISION</t>
  </si>
  <si>
    <t>Jean Christophe Melmies</t>
  </si>
  <si>
    <t>Carlos Torres</t>
  </si>
  <si>
    <t>Carlos.torres@johnsonelectric.com</t>
  </si>
  <si>
    <t>Juan Carlos Arizpe</t>
  </si>
  <si>
    <t>Juancarlos.arizpe@johnsonelectric.com</t>
  </si>
  <si>
    <t>Eliazar González</t>
  </si>
  <si>
    <t>Gabriela Molina</t>
  </si>
  <si>
    <t>Gabriela.molina@johnsonelectric.com</t>
  </si>
  <si>
    <t>Jean.christophe.melmies@johnsonelectric.com</t>
  </si>
  <si>
    <t>Eliazar.gonzalez@johnsonelectric.com</t>
  </si>
  <si>
    <t>Nombre del proyecto/Project Name:</t>
  </si>
  <si>
    <t>NOTA: Cualquier N/A debe ser justificado en los comentarios
NOTE: Any N/A found must be justified in the comments.</t>
  </si>
  <si>
    <t>Aldo Raygoza</t>
  </si>
  <si>
    <t>Aldo.raygoza@johnsonelectric.com</t>
  </si>
  <si>
    <t>Giovanna.leal@johnsonelectric.com</t>
  </si>
  <si>
    <t>Andrea.herrera@johnsonelectric.com</t>
  </si>
  <si>
    <t>Giovanna Leal</t>
  </si>
  <si>
    <t>Andrea Herrera</t>
  </si>
  <si>
    <t>Roberto.ramos@johnsonelectric.com</t>
  </si>
  <si>
    <t>Roberto Ramos</t>
  </si>
  <si>
    <t>STW</t>
  </si>
  <si>
    <t>Felipe Ornelas</t>
  </si>
  <si>
    <t>Felipe.ornelas@johnsonelectric.com</t>
  </si>
  <si>
    <t>HP</t>
  </si>
  <si>
    <t>INJECTION</t>
  </si>
  <si>
    <t>Luis Cortés</t>
  </si>
  <si>
    <t>Luis.cortes@johnsonelectric.com</t>
  </si>
  <si>
    <t>CFM</t>
  </si>
  <si>
    <t>Guadalupe Reyes</t>
  </si>
  <si>
    <t>Guadalupe.reyes@johsonelectric.com</t>
  </si>
  <si>
    <t>Elias Varela</t>
  </si>
  <si>
    <t>Elias.varela@johsonelectric.com</t>
  </si>
  <si>
    <t>Socorro Castillo</t>
  </si>
  <si>
    <t>Socorro.castillo@johnsonelectric.com</t>
  </si>
  <si>
    <t>Línea / Line:</t>
  </si>
  <si>
    <t>G3.0</t>
  </si>
  <si>
    <t>G3S</t>
  </si>
  <si>
    <t>G3.5</t>
  </si>
  <si>
    <t>E-MAIL</t>
  </si>
  <si>
    <t>Ingeniero de Calidad / QE</t>
  </si>
  <si>
    <t>Process Engineer / PE</t>
  </si>
  <si>
    <t xml:space="preserve">Observaciones / Remarks: 
</t>
  </si>
  <si>
    <t>00.- Checklist de inspección de entrada / Incoming Inspection Checklist</t>
  </si>
  <si>
    <t>Customer:</t>
  </si>
  <si>
    <t>Luis Sánchez</t>
  </si>
  <si>
    <t>Luis.sanchez@johnsonelectric.com</t>
  </si>
  <si>
    <t>EVD</t>
  </si>
  <si>
    <t>EXB</t>
  </si>
  <si>
    <t>Mario Silva</t>
  </si>
  <si>
    <t>Mario.silva@johnsonelectric.com</t>
  </si>
  <si>
    <t>LAMINATION</t>
  </si>
  <si>
    <t>Carlos Ramos</t>
  </si>
  <si>
    <t>Carlos.ramos@johnsonelectric.com</t>
  </si>
  <si>
    <t>Administrador de programa / Program Manager:</t>
  </si>
  <si>
    <t>Algunas situaciones menores quedarán abiertas y documentadas en el W3 de la línea</t>
  </si>
  <si>
    <t>Finance Manager:</t>
  </si>
  <si>
    <t>Bernardo Marines</t>
  </si>
  <si>
    <t>Bernardo.marines@johnsonelectric.com</t>
  </si>
  <si>
    <t>DE</t>
  </si>
  <si>
    <t>Revisión de Etapa 3 / Stage 3 Review</t>
  </si>
  <si>
    <t>Revisión de Etapa 4 / Stage 4 Review</t>
  </si>
  <si>
    <t>Revisión de Etapa 5 / Stage 5 Review</t>
  </si>
  <si>
    <t>Alejandra Villa</t>
  </si>
  <si>
    <t>Alejandra.villa@johnsonelectric.com</t>
  </si>
  <si>
    <t>¿La fórmula para el cálculo del RPN es la correcta? (SxOxD) / Is the formula for the calculation of RPN correct? (SxOxD)</t>
  </si>
  <si>
    <t xml:space="preserve">¿Todas las operaciones y estaciones son trazables entre FMEA, Process Flow Chart y Control Plan? / Are all operations and stations traceable between PFMEA, Process Flow Chart and Control Plan? </t>
  </si>
  <si>
    <t>¿El Control Plan hace referencia a los parámetros de procesos listados en la Matriz de Características? / Does Control Plan reference to the process parameters listed in the Characteristic Matrix?</t>
  </si>
  <si>
    <t>Óscar Contreras</t>
  </si>
  <si>
    <t>Oscar.contreras@johnsonelectric.com</t>
  </si>
  <si>
    <t xml:space="preserve">Líder del proyecto / Project leader </t>
  </si>
  <si>
    <t>Ingeniero de Proyectos / Project Engineer</t>
  </si>
  <si>
    <t>Finance Representative:</t>
  </si>
  <si>
    <t>Foreign trade compliance:</t>
  </si>
  <si>
    <t>Noel Ramírez</t>
  </si>
  <si>
    <t>Noel.ramirez@johnsonelectric.com</t>
  </si>
  <si>
    <t>Mireya Ramírez</t>
  </si>
  <si>
    <t>Mireya.ramirez@johnsoneeltric.com</t>
  </si>
  <si>
    <t>Cross Functional Team</t>
  </si>
  <si>
    <t>Información del Proyecto / 
Project Information</t>
  </si>
  <si>
    <t>Preparación General para el Lanzamiento / Overall launch readiness:</t>
  </si>
  <si>
    <t>Supplier Quality Engineer:</t>
  </si>
  <si>
    <t>Nora.ramirez@johnsonelectric.com</t>
  </si>
  <si>
    <t>Material management:</t>
  </si>
  <si>
    <t>Material Management:</t>
  </si>
  <si>
    <t>13.- Corrida de prueba/Piloto (Validación de Proceso) / Trial Run/Pilot Run (PV):</t>
  </si>
  <si>
    <t>14.- Análisis del Sistema de Medición / MSA:</t>
  </si>
  <si>
    <t>15.- Control Estadístico de Proceso Preliminar / Preliminary SPC:</t>
  </si>
  <si>
    <t>16.- PPAP/R@R:</t>
  </si>
  <si>
    <t>17.- Prueba de Validación de Producción / Production Validation Testing:</t>
  </si>
  <si>
    <t>18.- Evaluación de empaque / Packaging evaluation:</t>
  </si>
  <si>
    <t>19.- Plan de Control de Producción / Production Control Plan:</t>
  </si>
  <si>
    <t>21.- Reducción de variación / Reduced Variation:</t>
  </si>
  <si>
    <t>22.- Mejora en satisfacción del cliente / Improve customer satisfaction:</t>
  </si>
  <si>
    <t>23.- Mejora de envíos y servicio / Improved delivery and service:</t>
  </si>
  <si>
    <t>24.- Uso efectivo de lecciones aprendidas/Mejores prácticas / Effective use of Lesson Learned/Best practice</t>
  </si>
  <si>
    <t>25.- Entrega formal de proyecto a producción / Formal project delivery to production:</t>
  </si>
  <si>
    <t>Application Engineer:</t>
  </si>
  <si>
    <t>¿Las tolerancias son compatibles con los estándares de manufactura? DIN ISO 2768 / Are tolerances compatible with accepted manufacturing standards?</t>
  </si>
  <si>
    <t>¿Puede la tecnología de inspección medir todos los requerimientos del dibujo? / Can inspection technology measure all design requirements?</t>
  </si>
  <si>
    <t>¿Están las características especiales marcadas en el  dibujo y soportadas en el plan de control? / Are special characteristics  marked in the drawing  and supported in control plan?</t>
  </si>
  <si>
    <t>¿El cliente aprobó el dibujo de JE? / Customer approved the JE drawing?</t>
  </si>
  <si>
    <t>Dibujos Ingenieriles / Engineering Drawings</t>
  </si>
  <si>
    <t>¿Se ha considerado el tiempo de entrega de los materiales en los milestones? / Has lead time of materials been considerated in milestones?</t>
  </si>
  <si>
    <t xml:space="preserve">¿Las características especiales del material son identificadas? / Are special material characteristics identified? </t>
  </si>
  <si>
    <t>¿Se conocen los proveedores de los nuevos materiales? / Are new materials suppliers known?</t>
  </si>
  <si>
    <t>Procuramiento de SCS / SCS Procurement</t>
  </si>
  <si>
    <t>Información preliminar/ Preliminary information</t>
  </si>
  <si>
    <t>¿Se cuenta con el dibujo de cliente?/ Is the Customer Drawing available?</t>
  </si>
  <si>
    <t>¿Se cuenta con un CFT completado? / Is there a CFT completed?</t>
  </si>
  <si>
    <t xml:space="preserve">¿Se proporcionó el Reporte DV?/ Was The DV Report provided? </t>
  </si>
  <si>
    <t>¿Se tiene un dibujo congelado con la última revisión para completar el IICL? / Is there a frozen drawing with the last revision to complete the IICL?</t>
  </si>
  <si>
    <t xml:space="preserve"> ¿Se cuentan con especificaciones de empaque del cliente? / Is packaging specification from customer available?</t>
  </si>
  <si>
    <t xml:space="preserve"> ¿Se consideran las especificaciones desde el pallet hasta las particiones internas? / Are considered the specifications from the pallet to the internal partitions?</t>
  </si>
  <si>
    <t>¿Se identifican todos los procesos y los puntos de inspección requeridos? / Are all required processes and inspection points identified?</t>
  </si>
  <si>
    <t xml:space="preserve"> ¿Las áreas de inspección son del tamaño e iluminación adecuada? / Have the inspection areas a proper dimension and lighting ?</t>
  </si>
  <si>
    <t xml:space="preserve"> ¿Son los procesos libres de agentes contaminantes? / Are processes free of contaminating agents?</t>
  </si>
  <si>
    <t xml:space="preserve"> ¿Son los procesos diseñados para evitar la mezcla de productos? / Are the processes designed to avoid products mix?</t>
  </si>
  <si>
    <t>¿Se cueta con el DFMEA completo? / Is there a DFMEA completed?</t>
  </si>
  <si>
    <t xml:space="preserve">¿Se cuenta con un Team Feasibility Commitment firmado? / Is there a Team Feasibility Commitment signed? </t>
  </si>
  <si>
    <t>Ingeniero de Calidad de Proveedores / Supplier Quality Engineer</t>
  </si>
  <si>
    <t xml:space="preserve">¿Se cuenta con un BOM Preliminar? / Is there a Preliminary BOM? </t>
  </si>
  <si>
    <t>¿Los dibujos están disponibles? / Are the drawings availables?</t>
  </si>
  <si>
    <t>¿Hay lecciones aprendidas documentadas?/ Are there lessons learnt documented?</t>
  </si>
  <si>
    <t>¿Se cuenta con el Manual de Proveedor? / Is there a Customer Supplier Manual?</t>
  </si>
  <si>
    <t xml:space="preserve"> Lista preliminar de materiales / Preliminary BOM:</t>
  </si>
  <si>
    <t>Lista de equipos, fixturas, herramietas, refacciones,gauges e instalaciones necesarias / Lists of equipment, fixtures, tooling, spare parts, gauges and facilities needed.</t>
  </si>
  <si>
    <t>Compromiso de Factibilidad del Equipo / Team Feasibility Commitment:</t>
  </si>
  <si>
    <t xml:space="preserve"> Reporte de Validación del Diseño / DV Report</t>
  </si>
  <si>
    <t>Componentes nuevos / New components</t>
  </si>
  <si>
    <t>¿La lista de los componentes nuevos se encuentra disponible? / Is the list of new components available? (New components format)</t>
  </si>
  <si>
    <t>¿Esta lista está alineada con el archivo de seguimiento de RFQ de procuramiento? Is this list aligned with the RFQ tracker file from procurement?</t>
  </si>
  <si>
    <t>¿La lista preliminar de características del cliente se encuentra disponible? / Is the list opreliminary customer characteristics available? (New components format)</t>
  </si>
  <si>
    <t>¿Esta lista se encuentra avalada por la firma del cliente? / Is this list endorsed by customer signature?</t>
  </si>
  <si>
    <t xml:space="preserve"> ¿El empaque mantiene el rendimiento y características del producto durante el empaque, tránsito y desempaque? / Does packaging keep the performance and product characteristics during packaging, transit and unpackaging?</t>
  </si>
  <si>
    <t>¿Se consideran las regulaciones del empaque para los países a los que se exportará el producto? / Are considered packaging regulations for the countries to which the product will be exported?</t>
  </si>
  <si>
    <t>¿Son requeridos cambios en el SGC para producir el producto? / Are changes required in the QMS for product manufacturing?</t>
  </si>
  <si>
    <t>¿Se conoce quién es el contacto de calidad con el cliente? / Is customer quality contact known?</t>
  </si>
  <si>
    <t>¿Se conoce quién es el contacto de calidad con proveedores? / Is Suppliers Quality contact known?</t>
  </si>
  <si>
    <t>¿El diagrama de flujo muestra el tipo de traslado del producto entre operaciones? / Is transfer type of product between operations shown in flow chart?</t>
  </si>
  <si>
    <t>¿Se cuenta con el formato de IICL para los nuevos componentes? / Is the IICL for new components available?</t>
  </si>
  <si>
    <t xml:space="preserve"> ¿Han sido claramente identificadas las áreas para todo el material y el equipo necesario para cada operación en la distribución de piso? /  Have clearly marked areas for all material and equipment needed at each operation been identified in layout distribution?</t>
  </si>
  <si>
    <t>¿Los puntos de inspección están localizados para prevenir el envío de productos no conformes? / Are inspection points located to prevent shipment of nonconforming products?</t>
  </si>
  <si>
    <t>PROJ</t>
  </si>
  <si>
    <t>Número de parte/Part Number:</t>
  </si>
  <si>
    <t>¿Todos los puntos del APQP Checklist en la etapa revisada están cerrados? / Are all items of the APQP Checklist closed in the reviewed stage?</t>
  </si>
  <si>
    <t>Project Leader:</t>
  </si>
  <si>
    <t>¿Se cuenta con el paquete PPAP y PSW de los nuevos componentes? / Is PPAP package and PSW for new components available?</t>
  </si>
  <si>
    <t>¿El IMDS correcto de los componentes está disponible en el portal de JEMX? / Is the right IMDS available in JEMX portal?</t>
  </si>
  <si>
    <t>Training Coordinator:</t>
  </si>
  <si>
    <t>¿Se identifican aquellas características criticas? / Are critical characteristics  identified?</t>
  </si>
  <si>
    <t>¿Se establece la relación entre las operaciones del proceso y las características del producto? / Is the relationship between process and product characteristics established?</t>
  </si>
  <si>
    <t>¿Todas las operaciones enlistadas en el PFMEA coinciden con el Flow Chart? / Are all the operations listed in PFMEA matching with Flow Chart?</t>
  </si>
  <si>
    <t>¿Se conocen los requerimientos específicos del cliente? (manual de proveedor) / Are customer specific requirements known? (supplier manual)?</t>
  </si>
  <si>
    <t>¿Se identifican los requerimientos de pruebas de ingeniería y dimensionales en el plan de control? / Are the requirements for engineering and dimensional tests identified in the control plan?</t>
  </si>
  <si>
    <t xml:space="preserve">¿Están disponibles los equipos de pruebas y gages marcados en el plan de control? / Are test  equipment and gages listed in control plan available?  </t>
  </si>
  <si>
    <t>¿La revisión corresponde a la definida en los dibujos? / Does revision correspond to the defined in drawings?</t>
  </si>
  <si>
    <t>¿Son los planes de control correctamente identificados para pre-lanzamiento? / Are control plans properly identified as pre-launch?</t>
  </si>
  <si>
    <t>¿El número de revisión del plan de control es rastreable hacia PFMEA, Diagrama de flujo, Instrucciones de trabajo? / Is the Control plan revision number traceable to PFMEA, Flowchart and WI?</t>
  </si>
  <si>
    <t>¿Son los controles identificados en el PFMEA incluidos en el plan de control? / Are the controls identified in the PFMEA included in the control plan?</t>
  </si>
  <si>
    <t>¿Se marcan de manera consitente las características especiales de acuerdo a la simbología y requerimientos del cliente y/o dibujos? / Are special characteristics marked and are consistent with the symbolism, customer requirements and/or drawings?</t>
  </si>
  <si>
    <t>¿Existen planes de reacción definidos en el plan de control y son realizables? / Are achievable reaction plans defined in control plan?</t>
  </si>
  <si>
    <t>Si se requiere, el cliente ha aprobado el plan de control? / If required, has the customer approved the control plan?</t>
  </si>
  <si>
    <t>¿El nivel de prioridad se decide en base al Método de límite de riesgo (RLM)? / Is priority level based on the Risk Limit Method?</t>
  </si>
  <si>
    <t>¿Son los planes de mantenimiento preventivo derivados del análisis del PFMEA? / Are preventive maintanance plans derived from PFMEA?</t>
  </si>
  <si>
    <t>¿Los valores para la evaluación de SOD están refereciados al manual de la AIAG? / The values for the SOD evaluation are referenced to the AIAG Manual?</t>
  </si>
  <si>
    <t>¿Las acciones están enfocadas hacia la reducción del nivel de prioridad  "más bajo riesgo (3)"? / Is the aim for the actions focused towards the reduction of priority level "lowest risk (3)"?</t>
  </si>
  <si>
    <t>¿Las matrices del nivel de prioridad se usan correctamente? / Are priority level matrices used correctly?</t>
  </si>
  <si>
    <t>¿Se cuenta con instrucciones de inspección? / Are inspection instructions available?</t>
  </si>
  <si>
    <t xml:space="preserve"> ¿Se determinan el número de muestras conforme al plan de control y FMEA? / Are sample sizes determined according to control plan and FMEA?</t>
  </si>
  <si>
    <t>¿Existen planes de reacción documentados en caso de detección de alguna no conformidad? / Are reaction plans documented in case a non-conformance detected?</t>
  </si>
  <si>
    <t xml:space="preserve"> ¿Las instrucciones cuentan con el sello de documento controlado? / Are these instructions stamped as controlled document?</t>
  </si>
  <si>
    <t>¿Número de documento es legible y rastreable? / Is document number legible and traceable?</t>
  </si>
  <si>
    <t>Calidad / Quality</t>
  </si>
  <si>
    <t>Procesos / Processes</t>
  </si>
  <si>
    <t>Mantenimiento / Maintenance</t>
  </si>
  <si>
    <t>¿Se incluyen imágenes y diagramas en las instrucciones? / Are pictures and diagrams included in WI?</t>
  </si>
  <si>
    <t>¿Se determinan las frecuencias de las acciones conforme al plan de control y FMEA? / Are actions frequencies determined according to control plan and FMEA?</t>
  </si>
  <si>
    <t>¿Se encuentran las instrucciones disponibles en el área de trabajo? / Are instructions available in work area?</t>
  </si>
  <si>
    <t>PE / QE / MT</t>
  </si>
  <si>
    <t xml:space="preserve">¿Se desarrolla el plan del Análisis del Sistema de Medición a partir del plan de control? / Is a MSA plan developed according to Control Plan? </t>
  </si>
  <si>
    <t>¿El alcance de laboratorio cubre las pruebas y mediciones descritas por el plan de control? / Are the tests and measurements according to the control plan, covered by laboratory scope?</t>
  </si>
  <si>
    <t>¿Los instrumentos se derivan del control plan y su fecha de calibración es vigente? / Are instruments derived from Control plan and its calibration date is not expired yet?</t>
  </si>
  <si>
    <t xml:space="preserve">¿Son las características evaluadas derivadas del plan de control? / Are  the evaluated characteristics derived from control plan? </t>
  </si>
  <si>
    <t>¿Son las características evaluadas derivadas de requerimientos del cliente? / Are  the characteristics evaluated derived from cutomer requirements?</t>
  </si>
  <si>
    <t>¿Las características con inspección 100% se excluyen del SPC, a menos que el cliente especifique lo contrario? / Characteristics with 100% inspection are excluded from SPC. unless otherwise specified by customer?</t>
  </si>
  <si>
    <t>¿Se cuentan con registros de las reuniones periódicas del equipo multidisciplinario?/ Are follow up meetings records conducted by the CFT available?</t>
  </si>
  <si>
    <t>¿Se cuenta con evaluación documentada del entrenamiento y evaluación de los empleados en estas instrucciones de trabajo? / A documented training assessment for employees about work instructions exist?</t>
  </si>
  <si>
    <t>¿El personal requerido para la operación de acuerdo al SWS, además de Staff ha sido solicitado? / The personnel required for the operation according to the SWS has been requested?</t>
  </si>
  <si>
    <t>Gerente de operaciones / Operations Manager</t>
  </si>
  <si>
    <t>¿Se cuenta con el plan de reclutamiento disponible por parte de RH? / Is recruitment plan by HR available?</t>
  </si>
  <si>
    <t>Gerente de Recursos Humanos / Human Resources Manager</t>
  </si>
  <si>
    <t>¿Se asegura que las características específicas del cliente son consideradas en los documentos aplicables para calidad? / Have customer specific characteristics been considered in applicable documents for quality?</t>
  </si>
  <si>
    <t>Gerente de Calidad / Quality Manager</t>
  </si>
  <si>
    <t>Gerente de SCS / SCS Manager</t>
  </si>
  <si>
    <t>Gerente de Finanzas / Finance Manager</t>
  </si>
  <si>
    <t>¿Los TP de nuevos componentes están disponibles? / Are New components TP available?</t>
  </si>
  <si>
    <t>¿Se cuenta con el archivo de RFQ tracker disponible? / Is RFQ tracker file available?</t>
  </si>
  <si>
    <t>¿Durante la etapa 3 existieron "situaciones del cliente"? / During stage 2, did "customer situations" exist?</t>
  </si>
  <si>
    <t>En caso afirmativo, ¿Se encuentra documentado? / If so, is it documented?</t>
  </si>
  <si>
    <t>¿El seguimiento del caso está actualizado? / Is case follow up updated?</t>
  </si>
  <si>
    <t>¿Los parámetros de las máquinas son conocidos y documentados? / Are the parameters of the machines known and documented?</t>
  </si>
  <si>
    <t xml:space="preserve">   ¿Se consideran los índices de Ppk/Cpk establecidos por los clientes? / Are the customer established Ppk/Cpk indexes considered ? </t>
  </si>
  <si>
    <t>¿El ingeniero de calidad está capacitado para llevar a cabo estudios de MSA? / Is QE trained to perform MSA studies?</t>
  </si>
  <si>
    <t>¿El ingeniero de calidad está capacitado para llevar a cabo estudios de SPC? / Is QE trained to perform SPC studies?</t>
  </si>
  <si>
    <t>¿Es el material usado derivado de proveedores aprobados? / Is the material used from approved suppliers?</t>
  </si>
  <si>
    <t>¿Es el material usado el mismo que se usará para la producción normal?/Is the material used the same that will be used for normal production?</t>
  </si>
  <si>
    <t>¿Es el material suficiente para correr la producción especificada para pruebas? / Is enough material to run specific production for trials?</t>
  </si>
  <si>
    <t>¿El ingeniero de calidad está capacitado para llevar a cabo estudios de MSA y SPC? / Is QE trained to perform MSA and SPC studies?</t>
  </si>
  <si>
    <t>¿Se ha realizado el formato de requisición de personal necesario? / Has headcount format been made to request needed DL?</t>
  </si>
  <si>
    <t>Coordinador de entenamiento / Training Coordinator</t>
  </si>
  <si>
    <t>¿Se cuentan con todas las QRs aplicables para nuevos componentes disponibles ? / Do applicable QRs exist for new components availability?</t>
  </si>
  <si>
    <t>Representante de finanzas / Finance representative</t>
  </si>
  <si>
    <t>¿Las condiciones de iluminación son las adecuadas para el tipo de trabajo realizado? / ¿Are lighting conditions adequate for work type realized  ?</t>
  </si>
  <si>
    <t>¿Está definido el takt time de la línea? / Is takt time line defined?</t>
  </si>
  <si>
    <t>¿Está definido el rate de producción esperado? / Is the expected production rate defined?</t>
  </si>
  <si>
    <t>¿El tiempo muerto de la línea de producción es definido debajo del permitido 10%? / Is downtime metric defined in production line?</t>
  </si>
  <si>
    <t>¿El índice de scrap es definido debajo del permitido 0.35%? / Is scrap index defined to be lower than 0.35 %?</t>
  </si>
  <si>
    <t>ICP / SQE</t>
  </si>
  <si>
    <t>Procuramiento SCS / SCS Procurement</t>
  </si>
  <si>
    <t>¿Se define la cantidad de piezas necesaria para pruebas? / Is defined necessary quantity of pieces for tests?</t>
  </si>
  <si>
    <t>¿La producción de muestras se hizo OT-OP?/ Was sample production made OT-OP?</t>
  </si>
  <si>
    <t>¿Todos lo entregables de la etapa revisada fueron validados y auditados por el equipo de proyecto? / All deliverables of the reviewed stage were validated and audited by the project team?</t>
  </si>
  <si>
    <t>¿Los entregables fueron completados en tiempo de acuerdo a la línea de tiempo del cliente? / Were deliveries completed on time according to customer timeline?</t>
  </si>
  <si>
    <t>Stage 3 Responsibles</t>
  </si>
  <si>
    <t>Stage 4 Responsibles</t>
  </si>
  <si>
    <t>¿Las partes seleccionadas repesentan la variacion total del proceso? / Are these parts representative of the whole process variation?</t>
  </si>
  <si>
    <t xml:space="preserve">¿Se lleva a cabo el proceso de medición de acuerdo a R&amp;R? / Is the R&amp;R process followed up? </t>
  </si>
  <si>
    <t>¿El NDC del estudio es =&gt; a 5? / Is the NDC =&gt; to 5?</t>
  </si>
  <si>
    <t>¿La gráfica X-R por operador muestra más del 50% de los puntos por encima de los límites de punto ciego? / Are the points in the X-R chart out of the blind point over 50%?</t>
  </si>
  <si>
    <t>¿La gráfica R por operador muestras todos los puntos dentro de los límites de control? / Are all the points in the operator's R chart within the control limits?</t>
  </si>
  <si>
    <t>¿Los cambios en la gráfica R indican una buena resolución del instrumento? / Are the changes in the R chart an indication of a proper instrument resolution?</t>
  </si>
  <si>
    <t>¿El porcentaje de variación del estudio está por debajo del 10%? / Is the study variation percentage below 10%?</t>
  </si>
  <si>
    <t>¿Atienden los índices de Pp, Cp, Ppk y Cpk los requerimientos de los clientes? / Are Pp, Cp, Ppk an Cpk indexes according to customer requirements?</t>
  </si>
  <si>
    <t>¿El equipo utilizado para llevar a cabo las mediciones tiene registros de estudios de MSA, calibración y/o verificación? / Does the equipment used to carry out the measurements have MSA study records, calibration and/or verification?</t>
  </si>
  <si>
    <t>¿El número de muestras para características de desempeño es de mínimo 100? / Is the number of samples taken for performance characteristics at least of 100?</t>
  </si>
  <si>
    <t>¿Son las muestras tomadas de una corrida significativa? / Are the samples taken from a significant run?</t>
  </si>
  <si>
    <t>En base a los resultados, ¿se definen las características que serán monitoreadas durante la producción regular? / Based on results, are characteristics that will be monitored during regular production defined?</t>
  </si>
  <si>
    <t>¿Para los procesos que no cumplan con el índice de Ppk, ¿se identifican las causas y hay acciones de mejora? / For processes which Ppk index is non compliant, have causes and actions been identified?</t>
  </si>
  <si>
    <t>¿Existe un plan de acción para las características no conformes? / Does an action plan exist for non-conforming characteristics?</t>
  </si>
  <si>
    <t xml:space="preserve">¿Se conoce el nivel de PPAP solicitado por el cliente? / Is PPAP level requested by customer known ? </t>
  </si>
  <si>
    <t>Registros de diseño / Design Record</t>
  </si>
  <si>
    <t>Documentos de cambios de ingeniería / Engineering Change Documents</t>
  </si>
  <si>
    <t xml:space="preserve">FMEA de diseño / Design FMEA                            </t>
  </si>
  <si>
    <t xml:space="preserve">Diagrama del flujo de proceso / Process Flow Diagram  </t>
  </si>
  <si>
    <t>FMEA de procesos / Process FMEA</t>
  </si>
  <si>
    <t xml:space="preserve">Plan de control / Control Plan                           </t>
  </si>
  <si>
    <t xml:space="preserve">Estudios de MSA / MSA Studies                           </t>
  </si>
  <si>
    <t>Resultados dimensionales / Dimensional Results</t>
  </si>
  <si>
    <t xml:space="preserve">Resultados de pruebas de material y desempeño / Material &amp; Performance test result             </t>
  </si>
  <si>
    <t xml:space="preserve">Estudio inicial de proceso / Initial Process Study </t>
  </si>
  <si>
    <t xml:space="preserve">Documentación del laboratorio / Qualified Laboratory Documentation          </t>
  </si>
  <si>
    <t xml:space="preserve">Reporte de aprobación de apariencia / Appearance Approval Report </t>
  </si>
  <si>
    <t xml:space="preserve">Partes de muestra de producción / Sample Production Parts                     </t>
  </si>
  <si>
    <t xml:space="preserve">Muestra maestra / Master Sample                  </t>
  </si>
  <si>
    <t xml:space="preserve">Ayudas visuales / Checking Aids                          </t>
  </si>
  <si>
    <t>Registros de cumplimiento / Records of Compliance</t>
  </si>
  <si>
    <t>Garantía del envío de piezas / Part Submission Warrant</t>
  </si>
  <si>
    <t xml:space="preserve">Datos de IMDS / IMDS Data     </t>
  </si>
  <si>
    <t>¿Se tiene un plan de pruebas de PV desarrollado por ingeniería? / Is a PV test plan developed by engineering?</t>
  </si>
  <si>
    <t>¿Se ejecutan pruebas de transportación para validar la efectividad del empaque? / Are transportation tests performed to evaluate the  packaging effectiveness?</t>
  </si>
  <si>
    <t xml:space="preserve">¿Se evalúa la efectividad del empaque en cuanto a la protección del producto bajo condiciones normales? / Is the packaging effectiveness evaluated in terms of product protection under normal conditions? </t>
  </si>
  <si>
    <t>¿Son los planes de control correctamente identificados para producción? / Are control plans properly identified as production?</t>
  </si>
  <si>
    <t>Si se requiere, ¿el cliente ha aprobado el plan de control? / If required, has the customer approved the control plan?</t>
  </si>
  <si>
    <t>¿Se cuenta con acceso al scorecard u otro medio para medir la satisfacción del cliente hacia nosotros? / Is there access to the customer scorecard or any other means available to measure the customer satisfaction to us?</t>
  </si>
  <si>
    <t>¿Se conoce el contacto principal de la planta con el cliente y se tienen sus datos de contacto actualizados? / Is the main contact with the customer known with the latest contact information?</t>
  </si>
  <si>
    <t>¿Se conocen las evaluaciones de los clientes en entregas y servicio por todo el personal directamente involucrado? / Are the service and delivery scores known by the directly involved personnel?</t>
  </si>
  <si>
    <t>¿Se tienen los mecanismos definidos para abordar problemas del cliente por parte del personal involucrado? / Are the mechanisms defined for customer complaints available for the directly involved personnel?</t>
  </si>
  <si>
    <t>¿Gráficas de control son utilizadas para identificar las causas de variación en el proceso? / Are control charts used to identify  the variation causes in the process (form F8230D)?</t>
  </si>
  <si>
    <t>¿Un análisis de las gráficas es utilizado y las acciones correctivas necesarias son tomadas para reducir la variación del proceso? / A chart analysis is used and the corrective actions needed are performed in order to reduce the process variation?</t>
  </si>
  <si>
    <t>¿Se crean auditorías de capas para verificar que los operadores siguen los procesos de forma estándar? /  Are LPAs created to verify that operators are following standardized processes?</t>
  </si>
  <si>
    <t>¿En el checklist de LPA se define la frecuencia? / Is frequency defined in LPA checklist?</t>
  </si>
  <si>
    <t>Ingeniero de Calidad del Cliente / Customer Quality Engineer</t>
  </si>
  <si>
    <t>¿Se presentaron reclamos de cliente durante el desarrollo de las 5 etapas? There was customer complains during development of  5 phases?</t>
  </si>
  <si>
    <t>¿Las acciones correctivas de los reclamos están documentadas en PFMEA y Control plan? / Are corrective actions documented in PFMEA and Control pan?</t>
  </si>
  <si>
    <t>¿Existen Lecciones aprendidas documentadas de situaciones internas derivadas de safe launch? / There are lessons learned of internal situations derived of safe launch documented?</t>
  </si>
  <si>
    <t>¿Las Lecciones aprendidas están documentadas en PFMEA y Control plan? / Are lessons learned documented in PFMEA and Control plan?</t>
  </si>
  <si>
    <t>¿Se cumple con el índice de capacidad establecido por el cliente? / Is Cpk compliant according to customer requirements?</t>
  </si>
  <si>
    <t xml:space="preserve"> ¿Ilustra el diagrama de flujo la secuencia de producción completa desde la recepción hasta el embarque incluyendo los procesos y servicios que lo soportan? / Does Flowchart show the full production sequence from receipt to shipping including those processes and services supporting it?</t>
  </si>
  <si>
    <t>¿Se incluyen en el diagrama de flujo los puntos de revisión del plan de control y PFMEA? / Are checkpoints of PCP and PFMEA included in the flowchart?</t>
  </si>
  <si>
    <t>Equipo de calidad para lanzamientos</t>
  </si>
  <si>
    <t>Stage 3'!Print_Area</t>
  </si>
  <si>
    <t>¿Se cuenta con las listas del equipo disponibles? / Are equipment lists available?</t>
  </si>
  <si>
    <t>¿Se cuentan disponibles los manuales de maquinaria y proceso? / Are machinery and process manuals available?</t>
  </si>
  <si>
    <t>PE / MT</t>
  </si>
  <si>
    <t>¿Los líderes de línea y los supervisores de producción han sido considerados en el estudio de las lecciones aprendidas? / Have been production leaders and supervisor considered in lessons learned study?</t>
  </si>
  <si>
    <t>Representante de producción / Production representative</t>
  </si>
  <si>
    <t>Production Representative:</t>
  </si>
  <si>
    <t>Customer Quality Engineer:</t>
  </si>
  <si>
    <t>Goretti Pérez</t>
  </si>
  <si>
    <t>Goretti.perez@johnsonelectric.com</t>
  </si>
  <si>
    <t>Carlos Jiménez</t>
  </si>
  <si>
    <t>Carlos.jiménez@johnsonelectric.com</t>
  </si>
  <si>
    <t>Nora Ramírez</t>
  </si>
  <si>
    <t>Plant:</t>
  </si>
  <si>
    <t>¿Los resultados del PV test son satisfactorios? / Are PV test results satisfactory?</t>
  </si>
  <si>
    <t>¿La evaluación del desempeño de las partes está disponible? / Is parts performance test available?</t>
  </si>
  <si>
    <t>¿La evaluación del dimensional de las partes está disponible? / Is parts dimensional test available?</t>
  </si>
  <si>
    <t>Ingeniero de diseño / Design Engineer</t>
  </si>
  <si>
    <t>ALL</t>
  </si>
  <si>
    <t>Fecha de término de safe launch / Safe launch finish date:</t>
  </si>
  <si>
    <t>Ricardo Rivas</t>
  </si>
  <si>
    <t>Ricardo.rivas@johnsonelectric.com</t>
  </si>
  <si>
    <t>Diego Alonso</t>
  </si>
  <si>
    <t>Diego.alonso@johnsonelectric.com</t>
  </si>
  <si>
    <t>Fermin Flores</t>
  </si>
  <si>
    <t>Fermin.flores@johnsonelectric.com</t>
  </si>
  <si>
    <t>Julieta Solis</t>
  </si>
  <si>
    <t>Julieta.solis@johnsonelectric.com</t>
  </si>
  <si>
    <t>¿El diagrama de flujo ha sido controlado? / Have been Process flow chart controlled?</t>
  </si>
  <si>
    <t>¿Hay suficiente espacio para todo el equipo? / There is enough space for all equipment?</t>
  </si>
  <si>
    <t>¿Las áreas de retención son adecuadas? / Are retention areas adequate?</t>
  </si>
  <si>
    <t>Coordinador de Entrenamiento / Training Coordinator</t>
  </si>
  <si>
    <t>¿El PFMEA se preparó por el CFT?/ Was the PFMEA prepared by CFT?</t>
  </si>
  <si>
    <t xml:space="preserve"> ¿Se han considerado controles apropiados para atender los modos de falla? / Have appropriate controls been considered to attend all the failure modes? </t>
  </si>
  <si>
    <t>¿Existen acciones definidas para la disminución del riesgo para el top  identificado? / Does defined actions exist for the top risk decrease?</t>
  </si>
  <si>
    <t>¿Ha sido controlado? / Have been it controlled?</t>
  </si>
  <si>
    <t>¿El programa se ha monitoreado mínimo 3 meses? / Has the program been monitored at least for 3 months?</t>
  </si>
  <si>
    <t>Finanzas - tool room / Finance - tool room</t>
  </si>
  <si>
    <t>Finanzas / Finance</t>
  </si>
  <si>
    <t>Si aplica ¿El herramental/maquinaria comprado por el cliente está correctamente identificado? / If applicable, Are tooling/machines bought by customer correctly identified?</t>
  </si>
  <si>
    <t>Si aplica ¿El herramental/maquinaria está correctamente facturado con el cliente? / If applicable, Are tooling and machines correctly invoiced with customer?</t>
  </si>
  <si>
    <t>¿Existe un acuerdo de compra (PO) del herramental por parte del cliente? / Is there a purchase agreement of tooling by customer?</t>
  </si>
  <si>
    <t>20.- Disposición de piso / Floor plan layout:</t>
  </si>
  <si>
    <t>¿Ha sido controlado como "Pre-producción"? / Have been it controlled as "Pre-production"?</t>
  </si>
  <si>
    <t>¿Ha sido controlado como "Producción"? / Have been it controlled as "Production"?</t>
  </si>
  <si>
    <t>Firma de entrega/Inicio de producción / Sign-OFF/SOP:</t>
  </si>
  <si>
    <t>Elias.varela@johnsonelectric.com</t>
  </si>
  <si>
    <t>Adrianna Miramontes</t>
  </si>
  <si>
    <t>Adrianna.miramontes@johnsonelectric.com</t>
  </si>
  <si>
    <t>¿Las instrucciones aplicables están disponibles para todas las operaciones/inspecciones? / Are applicable instructions available?</t>
  </si>
  <si>
    <t>Dahlia</t>
  </si>
  <si>
    <t>Mohamed Niaz</t>
  </si>
  <si>
    <t>mohammed.niaz@johnsonelectric.com</t>
  </si>
  <si>
    <t>Jit Deodhar</t>
  </si>
  <si>
    <t>jit.deodhar@johnsonelectric.com</t>
  </si>
  <si>
    <t>julieta.solis@johnsonelectric.com</t>
  </si>
  <si>
    <t xml:space="preserve">Akos Korompai </t>
  </si>
  <si>
    <t>akos.korompai@johnsonelectric.com</t>
  </si>
  <si>
    <t>Kevin Swisher</t>
  </si>
  <si>
    <t>kevin.swisher@jonsonelectric.com</t>
  </si>
  <si>
    <t>Miguel Ruíz</t>
  </si>
  <si>
    <t>miguelruiz@johnsonelectric.com</t>
  </si>
  <si>
    <t>Stephen Russano</t>
  </si>
  <si>
    <t>stephen.russano@johnsonelectric.com</t>
  </si>
  <si>
    <t>Alberto Peñalver</t>
  </si>
  <si>
    <t>alberto.penalver@johnsonelectric.com</t>
  </si>
  <si>
    <t xml:space="preserve">Fransisco Díaz </t>
  </si>
  <si>
    <t>fransisco.diaz@johnsonelectric.com</t>
  </si>
  <si>
    <t>Karime Rivas</t>
  </si>
  <si>
    <t>karime.rivas@johnsonelectric.com</t>
  </si>
  <si>
    <t>Luis de la Fuente</t>
  </si>
  <si>
    <t>luis.delafuente@johnsonelectric.com</t>
  </si>
  <si>
    <t>Busines Development Manager:</t>
  </si>
  <si>
    <t xml:space="preserve">Philippe Jacquat </t>
  </si>
  <si>
    <t>philippe.jacquat@johnsonelectric.com</t>
  </si>
  <si>
    <t xml:space="preserve"> Senior PM:</t>
  </si>
  <si>
    <t>Kurt Kromer</t>
  </si>
  <si>
    <t>Maintenance Manager:</t>
  </si>
  <si>
    <t xml:space="preserve"> Engineer Manager:</t>
  </si>
  <si>
    <t>Claudia Castañeda</t>
  </si>
  <si>
    <t>claudia.castaneda@johnsonelectric.com</t>
  </si>
  <si>
    <t>Dahlia Valve Stellantis</t>
  </si>
  <si>
    <t>Stellantis</t>
  </si>
  <si>
    <t>AS</t>
  </si>
  <si>
    <t xml:space="preserve">Dahlia Valve </t>
  </si>
  <si>
    <t>Nuevo proyecto</t>
  </si>
  <si>
    <t xml:space="preserve">Eduardo Tejeida </t>
  </si>
  <si>
    <t>Gabriel Romero</t>
  </si>
  <si>
    <t>Jesus Urena</t>
  </si>
  <si>
    <t>Rev: 00</t>
  </si>
  <si>
    <t>Eduardo Tejeida</t>
  </si>
  <si>
    <t>eduardo.tejeida@johnsonelectric.com</t>
  </si>
  <si>
    <t>fermin.flores@johnsonelectric.com</t>
  </si>
  <si>
    <t>gabriel.romero@johnsonelectric.com</t>
  </si>
  <si>
    <t>jesus.urena@johnsonelectric.com</t>
  </si>
  <si>
    <t>Pendiente dibujos de empaque terminados</t>
  </si>
  <si>
    <t>Compartido por China ya en carpeta APQP</t>
  </si>
  <si>
    <t>Pendiente de firmas</t>
  </si>
  <si>
    <t>Ya en carpeta APQP</t>
  </si>
  <si>
    <t>Se solicitara dibujos de cliente</t>
  </si>
  <si>
    <t>Sourcing Strategy</t>
  </si>
  <si>
    <t>Cambios no requeridos</t>
  </si>
  <si>
    <t>Pendiente de revision</t>
  </si>
  <si>
    <t>Ya en carpetas APQP</t>
  </si>
  <si>
    <t>CFT</t>
  </si>
  <si>
    <t>Layout completado pendiente de controlar
SWS pendiente (PDF, Confirmar linea atornillado)</t>
  </si>
  <si>
    <t>Gabriel Confirmar con linea en Planta 
14 Junio</t>
  </si>
  <si>
    <t>Gabriel 14 Junio</t>
  </si>
  <si>
    <t>Eduardo 22 Julio</t>
  </si>
  <si>
    <t>Juliet S. 22 Julio</t>
  </si>
  <si>
    <t>1722-EJB0033</t>
  </si>
  <si>
    <t>Gabriel Pendiente brackets
Plan para componentes Inyectados</t>
  </si>
  <si>
    <t>HD Terminado</t>
  </si>
  <si>
    <t xml:space="preserve">DT WS pendiente especificacion </t>
  </si>
  <si>
    <t>Jesus / Gabriel 31 Mayo
Proceso y producto cerrado</t>
  </si>
  <si>
    <t>1. Junta con Diego / Michelle para status de componentes (PPAP de componentes PSW firmado 8 Jul)</t>
  </si>
  <si>
    <t>1. Pendiente de confrimar Manual ultima revision</t>
  </si>
  <si>
    <t>1. Gabriel pendiente de documentar 31 May</t>
  </si>
  <si>
    <t>OK</t>
  </si>
  <si>
    <t xml:space="preserve">1. Agregar dibujos a Doc controlados 
2. Validar ultima revision en JEPLM para componentes y ensambles
3. Murten (Alessandor) actualizar dibujos torque para atornillado de bracket </t>
  </si>
  <si>
    <t>1. Pendiente de firmas 31 May, firmas completas interno (ZAC), en firmas diseño 26 Julio</t>
  </si>
  <si>
    <t xml:space="preserve">Actualizacion de Adam Hall 
Validar fuente de voltaje equipo de validacion de codigo QR </t>
  </si>
  <si>
    <t>1. Julieta S. Dar a conocer con el equipo 16 agosto - 3 Septiembre 
2. Auditoria Personalizada (por capas) especifica Stellantis Manuel / Rodrigo R.</t>
  </si>
  <si>
    <t xml:space="preserve">Validar con julieta estatus de fixturas y compra de caliper - 
Gabriel cotizaciones 20 Sept / Gauge puertos de housing y conector de actuador - Diseño (18 sept) interno SPC atributos </t>
  </si>
  <si>
    <t xml:space="preserve">1. Julieta S. - Lecciones aprendidas de otras localidades con Valvulas (Wuxi) 19 Julio
 Contaminacion de particulas en valvula
2. Jesus compartir Lecciones aprendidas Murten
3. Lecciones aprendidas para los productos en curso 22 Julio
</t>
  </si>
  <si>
    <t>Pendiente Valve Seal
WK40</t>
  </si>
  <si>
    <t>3rd wk september</t>
  </si>
  <si>
    <t xml:space="preserve">Corrida pendiente con componentes validados </t>
  </si>
  <si>
    <r>
      <rPr>
        <sz val="8"/>
        <color rgb="FF00B050"/>
        <rFont val="Calibri"/>
        <family val="2"/>
        <scheme val="minor"/>
      </rPr>
      <t>1. Actualizar formato oficial / Spare parts list 7 Jun CHN</t>
    </r>
    <r>
      <rPr>
        <sz val="8"/>
        <color theme="1"/>
        <rFont val="Calibri"/>
        <family val="2"/>
        <scheme val="minor"/>
      </rPr>
      <t xml:space="preserve">
</t>
    </r>
    <r>
      <rPr>
        <sz val="8"/>
        <color rgb="FF00B050"/>
        <rFont val="Calibri"/>
        <family val="2"/>
        <scheme val="minor"/>
      </rPr>
      <t xml:space="preserve">2. RFQ cotizacion Mauro
</t>
    </r>
    <r>
      <rPr>
        <sz val="8"/>
        <color theme="1"/>
        <rFont val="Calibri"/>
        <family val="2"/>
        <scheme val="minor"/>
      </rPr>
      <t xml:space="preserve">3. Gabriel - Equipo de medicion - Leakage test Jit pendiente de confirmar 12 Julio
4. Julieta: Compra de micrometro / caliper /  fuente voltaje (Scaner) / Puntas
  </t>
    </r>
    <r>
      <rPr>
        <strike/>
        <sz val="8"/>
        <color theme="1"/>
        <rFont val="Calibri"/>
        <family val="2"/>
        <scheme val="minor"/>
      </rPr>
      <t xml:space="preserve">12 Julio </t>
    </r>
    <r>
      <rPr>
        <sz val="8"/>
        <color theme="1"/>
        <rFont val="Calibri"/>
        <family val="2"/>
        <scheme val="minor"/>
      </rPr>
      <t xml:space="preserve">- 16 Agosto - 4 septiembre - 2 Oct
</t>
    </r>
    <r>
      <rPr>
        <sz val="8"/>
        <color rgb="FF00B050"/>
        <rFont val="Calibri"/>
        <family val="2"/>
        <scheme val="minor"/>
      </rPr>
      <t xml:space="preserve">5. Mauro: Colocar PR para compra de partes 12 Julio
6. Fixturas de inyeccion pendientes </t>
    </r>
  </si>
  <si>
    <r>
      <rPr>
        <sz val="8"/>
        <color rgb="FF00B050"/>
        <rFont val="Calibri"/>
        <family val="2"/>
        <scheme val="minor"/>
      </rPr>
      <t>1. Validar ultima revision con Jesus y Gabriel (Junta semanal Control Plan, PFMEA)</t>
    </r>
    <r>
      <rPr>
        <sz val="8"/>
        <color theme="1"/>
        <rFont val="Calibri"/>
        <family val="2"/>
        <scheme val="minor"/>
      </rPr>
      <t xml:space="preserve">
2. Controlar documento 3rd week september - 1ra semana Octubre </t>
    </r>
  </si>
  <si>
    <t xml:space="preserve">1. Revision diaria (preeliminar 5 agosto)
2. Evaluar screwdriver line (4 septiembre) - 11 Sept -  1ra semana Octubre </t>
  </si>
  <si>
    <t xml:space="preserve">1. Jesus / Gabriel / Mauro 15 Julio - 2 Agosto Calidad - Procesos 7 Agosto 
2. WI Screwdriver lIne and Pck 9 sept
3. WI bracket 9 sept
4. WI mntto 9 sept  - Mauro 1 Semana Octubre </t>
  </si>
  <si>
    <t>Corrida pendiente con componentes validados (inyectados)</t>
  </si>
  <si>
    <t xml:space="preserve">70% AVANCE 2 OCTUBRE
LEAKAGE TEST
TORQUE DE CILINDRO PENDIENTE 
</t>
  </si>
  <si>
    <t xml:space="preserve">CPK DENTRO SPEC
</t>
  </si>
  <si>
    <t>Julieta validar reuqerimientos 9/20/2024
10/02/2024</t>
  </si>
  <si>
    <t>Documentar proceso de caract criticas 1ra semana Oct</t>
  </si>
  <si>
    <t>SWS Ya en carpeta</t>
  </si>
  <si>
    <t>Action plan para rechazo de actuador</t>
  </si>
  <si>
    <t>Prueba en desarrollo</t>
  </si>
  <si>
    <t>Personal reubicado de P1</t>
  </si>
  <si>
    <t>Action plan generado y cerrado</t>
  </si>
  <si>
    <t>Dahlia Valve HD (68591739AA - 1722-EJB0033)</t>
  </si>
  <si>
    <t>Heriberto Covarrubias</t>
  </si>
  <si>
    <t>heriberto.covarrubias@johnsonelectric.com</t>
  </si>
  <si>
    <t>diego.alonso@johnsonelectric.com</t>
  </si>
  <si>
    <t>Alexis Jara</t>
  </si>
  <si>
    <t>alexis.jara@johnsonelectric.com</t>
  </si>
  <si>
    <t>Gustavo Ramirez</t>
  </si>
  <si>
    <t>gustavo.ramirez@johnsonelectric.com</t>
  </si>
  <si>
    <t xml:space="preserve">
Jose Fabela</t>
  </si>
  <si>
    <t>jose.fabela@johnsonelectric.com</t>
  </si>
  <si>
    <t>Amado Cardona</t>
  </si>
  <si>
    <t>amado.cardona@johnsonelectroc.com</t>
  </si>
  <si>
    <t>kevin.swisher@johnsonelectric.com</t>
  </si>
  <si>
    <t>Kurt Kromer@johnsonelectric.com</t>
  </si>
  <si>
    <t>Oscar Ramos</t>
  </si>
  <si>
    <t>oscar.ramos@johnsonelectric.com</t>
  </si>
  <si>
    <t>Olivier Roussel</t>
  </si>
  <si>
    <t>olivier.roussel@johnsonelectric.com</t>
  </si>
  <si>
    <t>Alessandro Bossi</t>
  </si>
  <si>
    <t>alessandro.florian.bossi@johnsonelectric.com</t>
  </si>
  <si>
    <t>Charlene Gomez</t>
  </si>
  <si>
    <t>charlene.gomez@johnsonelectric.com</t>
  </si>
  <si>
    <t>Validar contra Withe Book, confirmar entrega de Empaque</t>
  </si>
  <si>
    <t>Rodrigo Rabelo</t>
  </si>
  <si>
    <t>rodrigo.rabelo@johnsonelectric.com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</si>
</sst>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mmmm\ d\,\ yyyy;@"/>
  </numFmts>
  <fonts count="49">
    <font>
      <sz val="11"/>
      <color theme="1"/>
      <name val="Calibri"/>
      <family val="2"/>
      <scheme val="minor"/>
    </font>
    <font>
      <u/>
      <sz val="11"/>
      <color theme="10"/>
      <name val="Calibri"/>
      <family val="2"/>
      <scheme val="minor"/>
    </font>
    <font>
      <sz val="10"/>
      <color theme="1"/>
      <name val="Calibri"/>
      <family val="2"/>
      <scheme val="minor"/>
    </font>
    <font>
      <sz val="11"/>
      <name val="Calibri"/>
      <family val="2"/>
      <scheme val="minor"/>
    </font>
    <font>
      <b/>
      <sz val="11"/>
      <color theme="1"/>
      <name val="Calibri"/>
      <family val="2"/>
      <scheme val="minor"/>
    </font>
    <font>
      <u/>
      <sz val="10"/>
      <color theme="1"/>
      <name val="Calibri"/>
      <family val="2"/>
      <scheme val="minor"/>
    </font>
    <font>
      <b/>
      <sz val="10"/>
      <color theme="1"/>
      <name val="Calibri"/>
      <family val="2"/>
      <scheme val="minor"/>
    </font>
    <font>
      <sz val="11"/>
      <color theme="1"/>
      <name val="Calibri"/>
      <family val="2"/>
      <scheme val="minor"/>
    </font>
    <font>
      <sz val="12"/>
      <name val="宋体"/>
      <charset val="134"/>
    </font>
    <font>
      <sz val="12"/>
      <name val="Calibri"/>
      <family val="2"/>
      <scheme val="minor"/>
    </font>
    <font>
      <sz val="16"/>
      <name val="Calibri"/>
      <family val="2"/>
      <scheme val="minor"/>
    </font>
    <font>
      <b/>
      <sz val="12"/>
      <name val="Calibri"/>
      <family val="2"/>
      <scheme val="minor"/>
    </font>
    <font>
      <sz val="14"/>
      <name val="Calibri"/>
      <family val="2"/>
      <scheme val="minor"/>
    </font>
    <font>
      <u/>
      <sz val="12"/>
      <color theme="10"/>
      <name val="宋体"/>
      <charset val="134"/>
    </font>
    <font>
      <u/>
      <sz val="12"/>
      <color theme="10"/>
      <name val="Calibri"/>
      <family val="2"/>
      <scheme val="minor"/>
    </font>
    <font>
      <sz val="40"/>
      <name val="Calibri"/>
      <family val="2"/>
      <scheme val="minor"/>
    </font>
    <font>
      <sz val="10"/>
      <name val="Arial"/>
      <family val="2"/>
    </font>
    <font>
      <sz val="20"/>
      <name val="Calibri"/>
      <family val="2"/>
      <scheme val="minor"/>
    </font>
    <font>
      <sz val="12"/>
      <name val="Arial"/>
      <family val="2"/>
    </font>
    <font>
      <sz val="48"/>
      <name val="Calibri"/>
      <family val="2"/>
      <scheme val="minor"/>
    </font>
    <font>
      <b/>
      <sz val="20"/>
      <color theme="0"/>
      <name val="Aharoni"/>
      <charset val="177"/>
    </font>
    <font>
      <sz val="12"/>
      <name val="Calibri Light"/>
      <family val="2"/>
      <scheme val="major"/>
    </font>
    <font>
      <b/>
      <sz val="12"/>
      <name val="Calibri Light"/>
      <family val="2"/>
      <scheme val="major"/>
    </font>
    <font>
      <sz val="12"/>
      <color theme="1"/>
      <name val="Calibri Light"/>
      <family val="2"/>
      <scheme val="major"/>
    </font>
    <font>
      <u/>
      <sz val="12"/>
      <color theme="10"/>
      <name val="Calibri Light"/>
      <family val="2"/>
      <scheme val="major"/>
    </font>
    <font>
      <sz val="9"/>
      <color indexed="81"/>
      <name val="Tahoma"/>
      <family val="2"/>
    </font>
    <font>
      <b/>
      <sz val="9"/>
      <color indexed="81"/>
      <name val="Tahoma"/>
      <family val="2"/>
    </font>
    <font>
      <sz val="10"/>
      <name val="Calibri"/>
      <family val="2"/>
      <scheme val="minor"/>
    </font>
    <font>
      <b/>
      <sz val="22"/>
      <color theme="1"/>
      <name val="Calibri"/>
      <family val="2"/>
      <scheme val="minor"/>
    </font>
    <font>
      <b/>
      <sz val="12"/>
      <color theme="1"/>
      <name val="Calibri Light"/>
      <family val="2"/>
      <scheme val="major"/>
    </font>
    <font>
      <sz val="11"/>
      <color theme="6"/>
      <name val="Calibri"/>
      <family val="2"/>
      <scheme val="minor"/>
    </font>
    <font>
      <b/>
      <sz val="11"/>
      <name val="Calibri"/>
      <family val="2"/>
      <scheme val="minor"/>
    </font>
    <font>
      <b/>
      <sz val="18"/>
      <color theme="0"/>
      <name val="Aharoni"/>
      <charset val="177"/>
    </font>
    <font>
      <i/>
      <sz val="11"/>
      <color theme="1"/>
      <name val="Calibri"/>
      <family val="2"/>
      <scheme val="minor"/>
    </font>
    <font>
      <b/>
      <sz val="11"/>
      <color theme="0"/>
      <name val="Calibri"/>
      <family val="2"/>
      <scheme val="minor"/>
    </font>
    <font>
      <sz val="11"/>
      <color theme="0"/>
      <name val="Calibri"/>
      <family val="2"/>
      <scheme val="minor"/>
    </font>
    <font>
      <b/>
      <sz val="22"/>
      <color theme="0"/>
      <name val="Calibri"/>
      <family val="2"/>
      <scheme val="minor"/>
    </font>
    <font>
      <b/>
      <sz val="10"/>
      <color theme="0"/>
      <name val="Calibri"/>
      <family val="2"/>
      <scheme val="minor"/>
    </font>
    <font>
      <b/>
      <sz val="12"/>
      <color theme="0"/>
      <name val="Calibri"/>
      <family val="2"/>
      <scheme val="minor"/>
    </font>
    <font>
      <sz val="12"/>
      <color theme="1"/>
      <name val="Calibri"/>
      <family val="2"/>
      <scheme val="minor"/>
    </font>
    <font>
      <b/>
      <sz val="18"/>
      <color theme="0"/>
      <name val="Calibri"/>
      <family val="2"/>
      <scheme val="minor"/>
    </font>
    <font>
      <sz val="12"/>
      <name val="新細明體"/>
      <family val="1"/>
      <charset val="136"/>
    </font>
    <font>
      <sz val="10"/>
      <name val="Arial"/>
      <family val="2"/>
    </font>
    <font>
      <sz val="11"/>
      <color rgb="FF9C0006"/>
      <name val="Calibri"/>
      <family val="2"/>
      <scheme val="minor"/>
    </font>
    <font>
      <u/>
      <sz val="10"/>
      <name val="Calibri"/>
      <family val="2"/>
      <scheme val="minor"/>
    </font>
    <font>
      <sz val="8"/>
      <color theme="1"/>
      <name val="Calibri"/>
      <family val="2"/>
      <scheme val="minor"/>
    </font>
    <font>
      <sz val="8"/>
      <color rgb="FF00B050"/>
      <name val="Calibri"/>
      <family val="2"/>
      <scheme val="minor"/>
    </font>
    <font>
      <strike/>
      <sz val="8"/>
      <color theme="1"/>
      <name val="Calibri"/>
      <family val="2"/>
      <scheme val="minor"/>
    </font>
    <font>
      <sz val="8"/>
      <color theme="0"/>
      <name val="Calibri"/>
      <family val="2"/>
      <scheme val="minor"/>
    </font>
  </fonts>
  <fills count="23">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rgb="FFFFFF99"/>
        <bgColor indexed="64"/>
      </patternFill>
    </fill>
    <fill>
      <patternFill patternType="solid">
        <fgColor rgb="FFCCFFCC"/>
        <bgColor indexed="64"/>
      </patternFill>
    </fill>
    <fill>
      <patternFill patternType="solid">
        <fgColor theme="5"/>
        <bgColor indexed="64"/>
      </patternFill>
    </fill>
    <fill>
      <patternFill patternType="solid">
        <fgColor rgb="FFCCFFFF"/>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6"/>
        <bgColor indexed="64"/>
      </patternFill>
    </fill>
    <fill>
      <patternFill patternType="solid">
        <fgColor theme="0" tint="-0.249977111117893"/>
        <bgColor indexed="64"/>
      </patternFill>
    </fill>
    <fill>
      <patternFill patternType="solid">
        <fgColor theme="6"/>
      </patternFill>
    </fill>
    <fill>
      <patternFill patternType="solid">
        <fgColor theme="7"/>
      </patternFill>
    </fill>
    <fill>
      <patternFill patternType="solid">
        <fgColor theme="8" tint="0.39997558519241921"/>
        <bgColor indexed="65"/>
      </patternFill>
    </fill>
    <fill>
      <patternFill patternType="solid">
        <fgColor theme="9"/>
      </patternFill>
    </fill>
    <fill>
      <patternFill patternType="solid">
        <fgColor theme="8" tint="0.79998168889431442"/>
        <bgColor indexed="64"/>
      </patternFill>
    </fill>
    <fill>
      <patternFill patternType="solid">
        <fgColor rgb="FFFF5050"/>
        <bgColor indexed="64"/>
      </patternFill>
    </fill>
    <fill>
      <patternFill patternType="solid">
        <fgColor rgb="FFFFC7CE"/>
      </patternFill>
    </fill>
    <fill>
      <patternFill patternType="solid">
        <fgColor theme="2" tint="-9.9978637043366805E-2"/>
        <bgColor indexed="64"/>
      </patternFill>
    </fill>
    <fill>
      <patternFill patternType="solid">
        <fgColor theme="2"/>
        <bgColor indexed="64"/>
      </patternFill>
    </fill>
  </fills>
  <borders count="43">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theme="6" tint="-0.249977111117893"/>
      </bottom>
      <diagonal/>
    </border>
    <border>
      <left/>
      <right style="medium">
        <color theme="6" tint="-0.249977111117893"/>
      </right>
      <top/>
      <bottom/>
      <diagonal/>
    </border>
    <border>
      <left/>
      <right style="medium">
        <color theme="6" tint="-0.249977111117893"/>
      </right>
      <top/>
      <bottom style="medium">
        <color theme="6" tint="-0.249977111117893"/>
      </bottom>
      <diagonal/>
    </border>
    <border>
      <left style="medium">
        <color theme="6" tint="-0.249977111117893"/>
      </left>
      <right/>
      <top style="medium">
        <color theme="6" tint="-0.249977111117893"/>
      </top>
      <bottom/>
      <diagonal/>
    </border>
    <border>
      <left/>
      <right/>
      <top style="medium">
        <color theme="6" tint="-0.249977111117893"/>
      </top>
      <bottom/>
      <diagonal/>
    </border>
    <border>
      <left/>
      <right style="medium">
        <color theme="6" tint="-0.249977111117893"/>
      </right>
      <top style="medium">
        <color theme="6" tint="-0.249977111117893"/>
      </top>
      <bottom/>
      <diagonal/>
    </border>
    <border>
      <left style="medium">
        <color theme="6" tint="-0.249977111117893"/>
      </left>
      <right/>
      <top/>
      <bottom/>
      <diagonal/>
    </border>
    <border>
      <left style="medium">
        <color theme="6" tint="-0.249977111117893"/>
      </left>
      <right/>
      <top/>
      <bottom style="medium">
        <color theme="6" tint="-0.249977111117893"/>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2">
    <xf numFmtId="0" fontId="0" fillId="0" borderId="0"/>
    <xf numFmtId="0" fontId="1" fillId="0" borderId="0" applyNumberFormat="0" applyFill="0" applyBorder="0" applyAlignment="0" applyProtection="0"/>
    <xf numFmtId="0" fontId="8" fillId="0" borderId="0"/>
    <xf numFmtId="0" fontId="7" fillId="0" borderId="0">
      <alignment vertical="center"/>
    </xf>
    <xf numFmtId="0" fontId="13" fillId="0" borderId="0" applyNumberFormat="0" applyFill="0" applyBorder="0" applyAlignment="0" applyProtection="0"/>
    <xf numFmtId="0" fontId="16" fillId="0" borderId="0"/>
    <xf numFmtId="0" fontId="16" fillId="0" borderId="0"/>
    <xf numFmtId="0" fontId="16" fillId="0" borderId="0"/>
    <xf numFmtId="0" fontId="7" fillId="0" borderId="0"/>
    <xf numFmtId="0" fontId="18" fillId="0" borderId="0"/>
    <xf numFmtId="0" fontId="16" fillId="0" borderId="0"/>
    <xf numFmtId="0" fontId="16" fillId="0" borderId="0"/>
    <xf numFmtId="0" fontId="16" fillId="0" borderId="0"/>
    <xf numFmtId="0" fontId="35" fillId="14" borderId="0" applyNumberFormat="0" applyBorder="0" applyAlignment="0" applyProtection="0"/>
    <xf numFmtId="0" fontId="35" fillId="15" borderId="0" applyNumberFormat="0" applyBorder="0" applyAlignment="0" applyProtection="0"/>
    <xf numFmtId="0" fontId="35" fillId="16" borderId="0" applyNumberFormat="0" applyBorder="0" applyAlignment="0" applyProtection="0"/>
    <xf numFmtId="0" fontId="35" fillId="17" borderId="0" applyNumberFormat="0" applyBorder="0" applyAlignment="0" applyProtection="0"/>
    <xf numFmtId="0" fontId="41" fillId="0" borderId="0">
      <alignment vertical="center"/>
    </xf>
    <xf numFmtId="0" fontId="41" fillId="0" borderId="0"/>
    <xf numFmtId="0" fontId="42" fillId="0" borderId="0"/>
    <xf numFmtId="0" fontId="43" fillId="20" borderId="0" applyNumberFormat="0" applyBorder="0" applyAlignment="0" applyProtection="0"/>
    <xf numFmtId="9" fontId="16" fillId="0" borderId="0" applyFont="0" applyFill="0" applyBorder="0" applyAlignment="0" applyProtection="0"/>
  </cellStyleXfs>
  <cellXfs count="373">
    <xf numFmtId="0" fontId="0" fillId="0" borderId="0" xfId="0"/>
    <xf numFmtId="0" fontId="0" fillId="2" borderId="0" xfId="0" applyFill="1"/>
    <xf numFmtId="0" fontId="0" fillId="2" borderId="0" xfId="0" applyFill="1" applyAlignment="1">
      <alignment wrapText="1"/>
    </xf>
    <xf numFmtId="0" fontId="0" fillId="0" borderId="2" xfId="0" applyBorder="1" applyAlignment="1">
      <alignment horizontal="center" vertical="center" wrapText="1"/>
    </xf>
    <xf numFmtId="0" fontId="2" fillId="2" borderId="2" xfId="0" applyFont="1" applyFill="1" applyBorder="1" applyAlignment="1">
      <alignment horizontal="left" vertical="top" wrapText="1"/>
    </xf>
    <xf numFmtId="0" fontId="2" fillId="2" borderId="2" xfId="0" applyFont="1" applyFill="1" applyBorder="1" applyAlignment="1">
      <alignment horizontal="left" vertical="top"/>
    </xf>
    <xf numFmtId="0" fontId="1" fillId="2" borderId="3" xfId="1" applyFill="1" applyBorder="1" applyAlignment="1">
      <alignment horizontal="center"/>
    </xf>
    <xf numFmtId="0" fontId="1" fillId="2" borderId="0" xfId="1" applyFill="1" applyAlignment="1">
      <alignment horizontal="center"/>
    </xf>
    <xf numFmtId="0" fontId="0" fillId="0" borderId="0" xfId="0"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2" borderId="2" xfId="0" applyFill="1" applyBorder="1" applyAlignment="1">
      <alignment horizontal="center" vertical="center" wrapText="1"/>
    </xf>
    <xf numFmtId="0" fontId="0" fillId="0" borderId="0" xfId="0" applyAlignment="1">
      <alignment horizontal="center"/>
    </xf>
    <xf numFmtId="0" fontId="0" fillId="2" borderId="2" xfId="0" applyFill="1" applyBorder="1" applyAlignment="1">
      <alignment horizontal="center" vertical="center"/>
    </xf>
    <xf numFmtId="0" fontId="0" fillId="2" borderId="5" xfId="0" applyFill="1" applyBorder="1" applyAlignment="1">
      <alignment horizontal="center" vertical="center"/>
    </xf>
    <xf numFmtId="0" fontId="0" fillId="2" borderId="0" xfId="0" applyFill="1" applyAlignment="1">
      <alignment vertical="center"/>
    </xf>
    <xf numFmtId="0" fontId="0" fillId="0" borderId="0" xfId="0" applyAlignment="1">
      <alignment vertical="center"/>
    </xf>
    <xf numFmtId="0" fontId="0" fillId="0" borderId="2" xfId="0" applyBorder="1" applyAlignment="1">
      <alignment vertical="center" wrapText="1"/>
    </xf>
    <xf numFmtId="0" fontId="0" fillId="2" borderId="2" xfId="0" applyFill="1" applyBorder="1" applyAlignment="1">
      <alignment vertical="center"/>
    </xf>
    <xf numFmtId="0" fontId="0" fillId="2" borderId="0" xfId="0" applyFill="1" applyAlignment="1">
      <alignment vertical="center" wrapText="1"/>
    </xf>
    <xf numFmtId="0" fontId="0" fillId="0" borderId="0" xfId="0" applyAlignment="1">
      <alignment vertical="center" wrapText="1"/>
    </xf>
    <xf numFmtId="164" fontId="0" fillId="2" borderId="2" xfId="0" applyNumberFormat="1" applyFill="1" applyBorder="1" applyAlignment="1">
      <alignment horizontal="center" vertical="center"/>
    </xf>
    <xf numFmtId="0" fontId="9" fillId="0" borderId="2" xfId="2" applyFont="1" applyBorder="1" applyAlignment="1">
      <alignment horizontal="center" vertical="center" wrapText="1"/>
    </xf>
    <xf numFmtId="0" fontId="11" fillId="5" borderId="2" xfId="2" applyFont="1" applyFill="1" applyBorder="1" applyAlignment="1">
      <alignment horizontal="center" vertical="center" wrapText="1"/>
    </xf>
    <xf numFmtId="0" fontId="9" fillId="0" borderId="2" xfId="2" applyFont="1" applyBorder="1" applyAlignment="1">
      <alignment horizontal="left" vertical="center" wrapText="1"/>
    </xf>
    <xf numFmtId="0" fontId="12" fillId="5" borderId="0" xfId="2" applyFont="1" applyFill="1" applyAlignment="1">
      <alignment horizontal="center" vertical="center"/>
    </xf>
    <xf numFmtId="0" fontId="9" fillId="0" borderId="2" xfId="2" applyFont="1" applyBorder="1" applyAlignment="1">
      <alignment horizontal="left" vertical="top" wrapText="1"/>
    </xf>
    <xf numFmtId="0" fontId="14" fillId="0" borderId="2" xfId="4" applyFont="1" applyBorder="1" applyAlignment="1">
      <alignment horizontal="center" vertical="center" wrapText="1"/>
    </xf>
    <xf numFmtId="0" fontId="14" fillId="0" borderId="2" xfId="4" applyFont="1" applyFill="1" applyBorder="1" applyAlignment="1">
      <alignment horizontal="center" vertical="center" wrapText="1"/>
    </xf>
    <xf numFmtId="0" fontId="9" fillId="0" borderId="0" xfId="2" applyFont="1" applyAlignment="1">
      <alignment horizontal="center" vertical="center" wrapText="1"/>
    </xf>
    <xf numFmtId="0" fontId="17" fillId="6" borderId="0" xfId="2" applyFont="1" applyFill="1" applyAlignment="1">
      <alignment horizontal="center" vertical="center"/>
    </xf>
    <xf numFmtId="0" fontId="17" fillId="6" borderId="0" xfId="2" applyFont="1" applyFill="1" applyAlignment="1">
      <alignment horizontal="right" vertical="center"/>
    </xf>
    <xf numFmtId="0" fontId="17" fillId="6" borderId="12" xfId="2" applyFont="1" applyFill="1" applyBorder="1" applyAlignment="1">
      <alignment horizontal="center" vertical="center"/>
    </xf>
    <xf numFmtId="0" fontId="17" fillId="6" borderId="12" xfId="2" applyFont="1" applyFill="1" applyBorder="1" applyAlignment="1">
      <alignment horizontal="left" vertical="center"/>
    </xf>
    <xf numFmtId="0" fontId="17" fillId="7" borderId="0" xfId="2" applyFont="1" applyFill="1" applyAlignment="1">
      <alignment horizontal="center" vertical="center"/>
    </xf>
    <xf numFmtId="0" fontId="17" fillId="7" borderId="0" xfId="2" applyFont="1" applyFill="1" applyAlignment="1">
      <alignment horizontal="right" vertical="center"/>
    </xf>
    <xf numFmtId="0" fontId="17" fillId="7" borderId="12" xfId="2" applyFont="1" applyFill="1" applyBorder="1" applyAlignment="1">
      <alignment horizontal="center" vertical="center"/>
    </xf>
    <xf numFmtId="14" fontId="9" fillId="0" borderId="2" xfId="2" applyNumberFormat="1" applyFont="1" applyBorder="1" applyAlignment="1">
      <alignment horizontal="center" vertical="center" wrapText="1"/>
    </xf>
    <xf numFmtId="0" fontId="9" fillId="0" borderId="2" xfId="2" applyFont="1" applyBorder="1" applyAlignment="1">
      <alignment vertical="top" wrapText="1"/>
    </xf>
    <xf numFmtId="0" fontId="9" fillId="0" borderId="2" xfId="2" applyFont="1" applyBorder="1" applyAlignment="1">
      <alignment horizontal="center" vertical="center"/>
    </xf>
    <xf numFmtId="0" fontId="14" fillId="2" borderId="2" xfId="4" applyFont="1" applyFill="1" applyBorder="1" applyAlignment="1">
      <alignment horizontal="center" vertical="center" wrapText="1"/>
    </xf>
    <xf numFmtId="0" fontId="14" fillId="0" borderId="0" xfId="4" applyFont="1" applyAlignment="1">
      <alignment horizontal="center" vertical="center" wrapText="1"/>
    </xf>
    <xf numFmtId="0" fontId="9" fillId="4" borderId="5" xfId="5" applyFont="1" applyFill="1" applyBorder="1" applyAlignment="1">
      <alignment horizontal="center" textRotation="90" wrapText="1"/>
    </xf>
    <xf numFmtId="0" fontId="9" fillId="4" borderId="5" xfId="5" applyFont="1" applyFill="1" applyBorder="1" applyAlignment="1">
      <alignment horizontal="right" textRotation="90" wrapText="1"/>
    </xf>
    <xf numFmtId="0" fontId="22" fillId="0" borderId="0" xfId="12" applyFont="1" applyAlignment="1">
      <alignment horizontal="right"/>
    </xf>
    <xf numFmtId="0" fontId="23" fillId="0" borderId="0" xfId="0" applyFont="1"/>
    <xf numFmtId="0" fontId="24" fillId="0" borderId="0" xfId="1" applyFont="1"/>
    <xf numFmtId="0" fontId="0" fillId="0" borderId="2" xfId="0" applyBorder="1" applyAlignment="1">
      <alignment horizontal="left" vertical="center" wrapText="1"/>
    </xf>
    <xf numFmtId="0" fontId="4" fillId="0" borderId="0" xfId="0" applyFont="1" applyAlignment="1">
      <alignment vertical="center"/>
    </xf>
    <xf numFmtId="0" fontId="0" fillId="0" borderId="3" xfId="0" applyBorder="1" applyAlignment="1">
      <alignment vertical="center" wrapText="1"/>
    </xf>
    <xf numFmtId="0" fontId="0" fillId="0" borderId="15" xfId="0" applyBorder="1" applyAlignment="1">
      <alignment vertical="center" wrapText="1"/>
    </xf>
    <xf numFmtId="165" fontId="0" fillId="0" borderId="2" xfId="0" applyNumberFormat="1" applyBorder="1" applyAlignment="1">
      <alignment horizontal="center" vertical="center"/>
    </xf>
    <xf numFmtId="0" fontId="0" fillId="9" borderId="0" xfId="0" applyFill="1" applyAlignment="1">
      <alignment vertical="center"/>
    </xf>
    <xf numFmtId="0" fontId="2" fillId="0" borderId="0" xfId="0" applyFont="1" applyAlignment="1">
      <alignment vertical="center"/>
    </xf>
    <xf numFmtId="0" fontId="27" fillId="0" borderId="2" xfId="1" applyFont="1" applyBorder="1" applyAlignment="1">
      <alignment horizontal="center" vertical="center"/>
    </xf>
    <xf numFmtId="0" fontId="27" fillId="0" borderId="8" xfId="1" applyFont="1" applyBorder="1" applyAlignment="1">
      <alignment horizontal="center" vertical="center"/>
    </xf>
    <xf numFmtId="0" fontId="4" fillId="0" borderId="2" xfId="0" applyFont="1" applyBorder="1" applyAlignment="1">
      <alignment horizontal="center" vertical="center" wrapText="1"/>
    </xf>
    <xf numFmtId="0" fontId="0" fillId="2" borderId="12" xfId="0" applyFill="1" applyBorder="1" applyAlignment="1" applyProtection="1">
      <alignment vertical="center"/>
      <protection locked="0"/>
    </xf>
    <xf numFmtId="0" fontId="0" fillId="2" borderId="7" xfId="0" applyFill="1" applyBorder="1" applyAlignment="1" applyProtection="1">
      <alignment vertical="center"/>
      <protection locked="0"/>
    </xf>
    <xf numFmtId="0" fontId="0" fillId="2" borderId="2" xfId="0" applyFill="1" applyBorder="1" applyAlignment="1">
      <alignment vertical="center" wrapText="1"/>
    </xf>
    <xf numFmtId="0" fontId="0" fillId="2" borderId="2" xfId="0" applyFill="1" applyBorder="1" applyAlignment="1">
      <alignment horizontal="left" vertical="center" wrapText="1"/>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horizontal="right" vertical="center"/>
    </xf>
    <xf numFmtId="0" fontId="30" fillId="0" borderId="0" xfId="0" applyFont="1" applyAlignment="1">
      <alignment horizontal="center" vertical="center"/>
    </xf>
    <xf numFmtId="0" fontId="3" fillId="0" borderId="2" xfId="0" applyFont="1" applyBorder="1" applyAlignment="1">
      <alignment horizontal="center" vertical="center"/>
    </xf>
    <xf numFmtId="0" fontId="3" fillId="0" borderId="0" xfId="0" applyFont="1" applyAlignment="1">
      <alignment horizontal="center" vertical="center"/>
    </xf>
    <xf numFmtId="0" fontId="14" fillId="0" borderId="0" xfId="4" applyFont="1" applyFill="1" applyAlignment="1">
      <alignment horizontal="center" vertical="center" wrapText="1"/>
    </xf>
    <xf numFmtId="0" fontId="13" fillId="0" borderId="2" xfId="4" applyBorder="1" applyAlignment="1">
      <alignment horizontal="center" vertical="center" wrapText="1"/>
    </xf>
    <xf numFmtId="0" fontId="0" fillId="2" borderId="15" xfId="0" applyFill="1" applyBorder="1" applyAlignment="1">
      <alignment vertical="center"/>
    </xf>
    <xf numFmtId="0" fontId="29" fillId="2" borderId="15" xfId="0" applyFont="1" applyFill="1" applyBorder="1" applyAlignment="1">
      <alignment horizontal="center" vertical="center"/>
    </xf>
    <xf numFmtId="0" fontId="1" fillId="0" borderId="15" xfId="1" applyBorder="1" applyAlignment="1">
      <alignment vertical="center"/>
    </xf>
    <xf numFmtId="0" fontId="0" fillId="2" borderId="9" xfId="0" applyFill="1" applyBorder="1" applyAlignment="1">
      <alignment vertical="center"/>
    </xf>
    <xf numFmtId="0" fontId="0" fillId="2" borderId="8" xfId="0" applyFill="1" applyBorder="1" applyAlignment="1" applyProtection="1">
      <alignment vertical="center"/>
      <protection locked="0"/>
    </xf>
    <xf numFmtId="0" fontId="23" fillId="0" borderId="0" xfId="0" applyFont="1" applyAlignment="1">
      <alignment vertical="center" wrapText="1"/>
    </xf>
    <xf numFmtId="0" fontId="0" fillId="2" borderId="15" xfId="0" applyFill="1" applyBorder="1" applyAlignment="1">
      <alignment vertical="center" wrapText="1"/>
    </xf>
    <xf numFmtId="0" fontId="22" fillId="0" borderId="0" xfId="12" applyFont="1" applyAlignment="1">
      <alignment horizontal="center"/>
    </xf>
    <xf numFmtId="0" fontId="20" fillId="8" borderId="0" xfId="0" applyFont="1" applyFill="1" applyAlignment="1">
      <alignment horizontal="center" vertical="center"/>
    </xf>
    <xf numFmtId="0" fontId="4" fillId="10" borderId="2" xfId="0" applyFont="1" applyFill="1" applyBorder="1" applyAlignment="1">
      <alignment horizontal="center" vertical="center"/>
    </xf>
    <xf numFmtId="0" fontId="4" fillId="10" borderId="6" xfId="0" applyFont="1" applyFill="1" applyBorder="1" applyAlignment="1">
      <alignment horizontal="center" vertical="center"/>
    </xf>
    <xf numFmtId="0" fontId="21" fillId="0" borderId="0" xfId="12" applyFont="1" applyAlignment="1">
      <alignment horizontal="right"/>
    </xf>
    <xf numFmtId="0" fontId="23" fillId="2" borderId="0" xfId="0" applyFont="1" applyFill="1"/>
    <xf numFmtId="0" fontId="1" fillId="2" borderId="0" xfId="1" applyFill="1" applyBorder="1"/>
    <xf numFmtId="0" fontId="23" fillId="2" borderId="25" xfId="0" applyFont="1" applyFill="1" applyBorder="1"/>
    <xf numFmtId="0" fontId="23" fillId="2" borderId="27" xfId="0" applyFont="1" applyFill="1" applyBorder="1"/>
    <xf numFmtId="0" fontId="23" fillId="2" borderId="32" xfId="0" applyFont="1" applyFill="1" applyBorder="1"/>
    <xf numFmtId="0" fontId="22" fillId="2" borderId="25" xfId="12" applyFont="1" applyFill="1" applyBorder="1" applyAlignment="1">
      <alignment horizontal="right"/>
    </xf>
    <xf numFmtId="0" fontId="24" fillId="2" borderId="25" xfId="1" applyFont="1" applyFill="1" applyBorder="1"/>
    <xf numFmtId="0" fontId="0" fillId="8" borderId="0" xfId="0" applyFill="1"/>
    <xf numFmtId="0" fontId="4" fillId="0" borderId="2" xfId="0" applyFont="1" applyBorder="1" applyAlignment="1">
      <alignment horizontal="center" vertical="center"/>
    </xf>
    <xf numFmtId="0" fontId="17" fillId="2" borderId="0" xfId="2" applyFont="1" applyFill="1" applyAlignment="1">
      <alignment horizontal="center" vertical="center"/>
    </xf>
    <xf numFmtId="0" fontId="15" fillId="2" borderId="0" xfId="2" applyFont="1" applyFill="1" applyAlignment="1">
      <alignment horizontal="center" vertical="center"/>
    </xf>
    <xf numFmtId="0" fontId="8" fillId="2" borderId="0" xfId="2" applyFill="1"/>
    <xf numFmtId="0" fontId="9" fillId="2" borderId="0" xfId="2" applyFont="1" applyFill="1" applyAlignment="1">
      <alignment horizontal="center" vertical="center"/>
    </xf>
    <xf numFmtId="0" fontId="9" fillId="2" borderId="0" xfId="2" applyFont="1" applyFill="1" applyAlignment="1">
      <alignment horizontal="center" vertical="center" wrapText="1"/>
    </xf>
    <xf numFmtId="0" fontId="12" fillId="2" borderId="0" xfId="2" applyFont="1" applyFill="1" applyAlignment="1">
      <alignment horizontal="center" vertical="center"/>
    </xf>
    <xf numFmtId="0" fontId="12" fillId="2" borderId="0" xfId="2" applyFont="1" applyFill="1" applyAlignment="1">
      <alignment horizontal="left" vertical="center"/>
    </xf>
    <xf numFmtId="0" fontId="1" fillId="0" borderId="0" xfId="1" applyAlignment="1">
      <alignment horizontal="left"/>
    </xf>
    <xf numFmtId="0" fontId="0" fillId="0" borderId="0" xfId="0" applyAlignment="1">
      <alignment horizontal="left"/>
    </xf>
    <xf numFmtId="165" fontId="0" fillId="2" borderId="13" xfId="0" applyNumberFormat="1" applyFill="1" applyBorder="1" applyAlignment="1" applyProtection="1">
      <alignment vertical="center"/>
      <protection locked="0"/>
    </xf>
    <xf numFmtId="0" fontId="4" fillId="10" borderId="14" xfId="0" applyFont="1" applyFill="1" applyBorder="1" applyAlignment="1">
      <alignment horizontal="center" vertical="center"/>
    </xf>
    <xf numFmtId="0" fontId="0" fillId="0" borderId="14" xfId="0" applyBorder="1" applyAlignment="1">
      <alignment horizontal="center" vertical="center" wrapText="1"/>
    </xf>
    <xf numFmtId="0" fontId="0" fillId="0" borderId="14" xfId="0" applyBorder="1" applyAlignment="1">
      <alignment horizontal="center" vertical="center"/>
    </xf>
    <xf numFmtId="0" fontId="0" fillId="2" borderId="14" xfId="0" applyFill="1" applyBorder="1" applyAlignment="1">
      <alignment horizontal="center" vertical="center"/>
    </xf>
    <xf numFmtId="0" fontId="0" fillId="2" borderId="14" xfId="0" applyFill="1" applyBorder="1" applyAlignment="1">
      <alignment horizontal="center" vertical="center" wrapText="1"/>
    </xf>
    <xf numFmtId="164" fontId="0" fillId="2" borderId="14" xfId="0" applyNumberFormat="1" applyFill="1" applyBorder="1" applyAlignment="1">
      <alignment horizontal="center" vertical="center"/>
    </xf>
    <xf numFmtId="0" fontId="21" fillId="0" borderId="16" xfId="12" applyFont="1" applyBorder="1" applyAlignment="1">
      <alignment horizontal="right"/>
    </xf>
    <xf numFmtId="0" fontId="1" fillId="0" borderId="17" xfId="1" applyBorder="1" applyAlignment="1">
      <alignment horizontal="left"/>
    </xf>
    <xf numFmtId="0" fontId="22" fillId="2" borderId="35" xfId="12" applyFont="1" applyFill="1" applyBorder="1" applyAlignment="1">
      <alignment horizontal="right"/>
    </xf>
    <xf numFmtId="0" fontId="1" fillId="0" borderId="18" xfId="1" applyBorder="1" applyAlignment="1">
      <alignment horizontal="left"/>
    </xf>
    <xf numFmtId="0" fontId="22" fillId="2" borderId="19" xfId="12" applyFont="1" applyFill="1" applyBorder="1" applyAlignment="1">
      <alignment horizontal="right"/>
    </xf>
    <xf numFmtId="0" fontId="0" fillId="0" borderId="20" xfId="0" applyBorder="1"/>
    <xf numFmtId="0" fontId="22" fillId="2" borderId="34" xfId="12" applyFont="1" applyFill="1" applyBorder="1" applyAlignment="1">
      <alignment horizontal="right"/>
    </xf>
    <xf numFmtId="0" fontId="0" fillId="0" borderId="16" xfId="0" applyBorder="1"/>
    <xf numFmtId="0" fontId="28" fillId="2" borderId="0" xfId="0" applyFont="1" applyFill="1" applyAlignment="1">
      <alignment vertical="center"/>
    </xf>
    <xf numFmtId="0" fontId="0" fillId="8" borderId="3" xfId="0" applyFill="1" applyBorder="1" applyAlignment="1">
      <alignment vertical="center"/>
    </xf>
    <xf numFmtId="0" fontId="28" fillId="8" borderId="0" xfId="0" applyFont="1" applyFill="1" applyAlignment="1">
      <alignment vertical="center"/>
    </xf>
    <xf numFmtId="0" fontId="28" fillId="8" borderId="15" xfId="0" applyFont="1" applyFill="1" applyBorder="1" applyAlignment="1">
      <alignment vertical="center"/>
    </xf>
    <xf numFmtId="0" fontId="0" fillId="0" borderId="12" xfId="0" applyBorder="1" applyAlignment="1">
      <alignment vertical="center"/>
    </xf>
    <xf numFmtId="0" fontId="1" fillId="0" borderId="21" xfId="1" applyBorder="1" applyAlignment="1">
      <alignment horizontal="left"/>
    </xf>
    <xf numFmtId="0" fontId="34" fillId="11" borderId="2" xfId="0" applyFont="1" applyFill="1" applyBorder="1" applyAlignment="1">
      <alignment horizontal="center" vertical="center"/>
    </xf>
    <xf numFmtId="0" fontId="34" fillId="11" borderId="2" xfId="0" applyFont="1" applyFill="1" applyBorder="1" applyAlignment="1">
      <alignment horizontal="center" vertical="center" wrapText="1"/>
    </xf>
    <xf numFmtId="0" fontId="37" fillId="11" borderId="2" xfId="0" applyFont="1" applyFill="1" applyBorder="1" applyAlignment="1">
      <alignment horizontal="center" vertical="center" wrapText="1"/>
    </xf>
    <xf numFmtId="0" fontId="4" fillId="0" borderId="15" xfId="0" applyFont="1" applyBorder="1" applyAlignment="1">
      <alignment vertical="center"/>
    </xf>
    <xf numFmtId="0" fontId="4" fillId="0" borderId="8" xfId="0" applyFont="1" applyBorder="1" applyAlignment="1">
      <alignment vertical="center"/>
    </xf>
    <xf numFmtId="0" fontId="11" fillId="2" borderId="0" xfId="12" applyFont="1" applyFill="1" applyAlignment="1">
      <alignment horizontal="right"/>
    </xf>
    <xf numFmtId="0" fontId="3" fillId="2" borderId="0" xfId="12" applyFont="1" applyFill="1" applyAlignment="1">
      <alignment horizontal="center"/>
    </xf>
    <xf numFmtId="0" fontId="31" fillId="2" borderId="0" xfId="12" applyFont="1" applyFill="1" applyAlignment="1">
      <alignment horizontal="center"/>
    </xf>
    <xf numFmtId="0" fontId="31" fillId="2" borderId="0" xfId="12" applyFont="1" applyFill="1"/>
    <xf numFmtId="0" fontId="0" fillId="2" borderId="31" xfId="0" applyFill="1" applyBorder="1"/>
    <xf numFmtId="0" fontId="9" fillId="2" borderId="31" xfId="12" applyFont="1" applyFill="1" applyBorder="1" applyAlignment="1">
      <alignment horizontal="center"/>
    </xf>
    <xf numFmtId="0" fontId="11" fillId="2" borderId="0" xfId="12" applyFont="1" applyFill="1" applyAlignment="1">
      <alignment horizontal="center"/>
    </xf>
    <xf numFmtId="0" fontId="11" fillId="2" borderId="26" xfId="12" applyFont="1" applyFill="1" applyBorder="1" applyAlignment="1">
      <alignment horizontal="center"/>
    </xf>
    <xf numFmtId="0" fontId="9" fillId="2" borderId="0" xfId="12" applyFont="1" applyFill="1" applyAlignment="1">
      <alignment horizontal="center"/>
    </xf>
    <xf numFmtId="0" fontId="11" fillId="2" borderId="31" xfId="12" applyFont="1" applyFill="1" applyBorder="1" applyAlignment="1">
      <alignment horizontal="right"/>
    </xf>
    <xf numFmtId="0" fontId="39" fillId="2" borderId="0" xfId="0" applyFont="1" applyFill="1"/>
    <xf numFmtId="0" fontId="14" fillId="2" borderId="0" xfId="1" applyFont="1" applyFill="1" applyBorder="1"/>
    <xf numFmtId="0" fontId="39" fillId="2" borderId="26" xfId="0" applyFont="1" applyFill="1" applyBorder="1"/>
    <xf numFmtId="0" fontId="11" fillId="2" borderId="31" xfId="12" applyFont="1" applyFill="1" applyBorder="1" applyAlignment="1">
      <alignment horizontal="right" vertical="center" wrapText="1"/>
    </xf>
    <xf numFmtId="0" fontId="39" fillId="2" borderId="32" xfId="0" applyFont="1" applyFill="1" applyBorder="1"/>
    <xf numFmtId="0" fontId="39" fillId="2" borderId="25" xfId="0" applyFont="1" applyFill="1" applyBorder="1"/>
    <xf numFmtId="0" fontId="39" fillId="2" borderId="27" xfId="0" applyFont="1" applyFill="1" applyBorder="1"/>
    <xf numFmtId="0" fontId="11" fillId="2" borderId="31" xfId="12" applyFont="1" applyFill="1" applyBorder="1" applyAlignment="1">
      <alignment horizontal="center"/>
    </xf>
    <xf numFmtId="0" fontId="1" fillId="2" borderId="26" xfId="1" applyFill="1" applyBorder="1"/>
    <xf numFmtId="0" fontId="38" fillId="11" borderId="5" xfId="0" applyFont="1" applyFill="1" applyBorder="1" applyAlignment="1">
      <alignment horizontal="center" vertical="center" wrapText="1"/>
    </xf>
    <xf numFmtId="0" fontId="38" fillId="11" borderId="4" xfId="0" applyFont="1" applyFill="1" applyBorder="1" applyAlignment="1">
      <alignment horizontal="center" vertical="center"/>
    </xf>
    <xf numFmtId="0" fontId="38" fillId="11" borderId="4" xfId="0" applyFont="1" applyFill="1" applyBorder="1" applyAlignment="1">
      <alignment horizontal="center" vertical="center" wrapText="1"/>
    </xf>
    <xf numFmtId="0" fontId="6" fillId="7" borderId="7" xfId="0" applyFont="1" applyFill="1" applyBorder="1" applyAlignment="1">
      <alignment horizontal="center" vertical="center" wrapText="1"/>
    </xf>
    <xf numFmtId="49" fontId="2" fillId="7" borderId="7" xfId="0" applyNumberFormat="1" applyFont="1" applyFill="1" applyBorder="1" applyAlignment="1">
      <alignment horizontal="center" vertical="center"/>
    </xf>
    <xf numFmtId="0" fontId="0" fillId="7" borderId="7" xfId="0" applyFill="1" applyBorder="1" applyAlignment="1">
      <alignment horizontal="center" vertical="center"/>
    </xf>
    <xf numFmtId="0" fontId="0" fillId="18" borderId="7" xfId="0" applyFill="1" applyBorder="1" applyAlignment="1">
      <alignment horizontal="center" vertical="center"/>
    </xf>
    <xf numFmtId="0" fontId="2" fillId="18" borderId="7" xfId="0" applyFont="1" applyFill="1" applyBorder="1" applyAlignment="1">
      <alignment horizontal="center" vertical="center"/>
    </xf>
    <xf numFmtId="0" fontId="6" fillId="18" borderId="7" xfId="0" applyFont="1" applyFill="1" applyBorder="1" applyAlignment="1">
      <alignment horizontal="center" vertical="center" wrapText="1"/>
    </xf>
    <xf numFmtId="0" fontId="0" fillId="6" borderId="7" xfId="0" applyFill="1" applyBorder="1" applyAlignment="1">
      <alignment horizontal="center" vertical="center"/>
    </xf>
    <xf numFmtId="49" fontId="2" fillId="6" borderId="7" xfId="0" applyNumberFormat="1" applyFont="1" applyFill="1" applyBorder="1" applyAlignment="1">
      <alignment horizontal="center" vertical="center"/>
    </xf>
    <xf numFmtId="0" fontId="6" fillId="6" borderId="7" xfId="0" applyFont="1" applyFill="1" applyBorder="1" applyAlignment="1">
      <alignment horizontal="center" vertical="center" wrapText="1"/>
    </xf>
    <xf numFmtId="164" fontId="0" fillId="2" borderId="8" xfId="0" applyNumberFormat="1" applyFill="1" applyBorder="1" applyAlignment="1">
      <alignment horizontal="center" vertical="center"/>
    </xf>
    <xf numFmtId="0" fontId="34" fillId="11" borderId="5" xfId="0" applyFont="1" applyFill="1" applyBorder="1" applyAlignment="1">
      <alignment horizontal="center" vertical="center"/>
    </xf>
    <xf numFmtId="0" fontId="34" fillId="11" borderId="5" xfId="0" applyFont="1" applyFill="1" applyBorder="1" applyAlignment="1">
      <alignment horizontal="center" vertical="center" wrapText="1"/>
    </xf>
    <xf numFmtId="164" fontId="0" fillId="2" borderId="13" xfId="0" applyNumberFormat="1" applyFill="1" applyBorder="1" applyAlignment="1">
      <alignment horizontal="center" vertical="center"/>
    </xf>
    <xf numFmtId="0" fontId="0" fillId="0" borderId="14" xfId="0" applyBorder="1" applyAlignment="1">
      <alignment horizontal="left" vertical="center" wrapText="1"/>
    </xf>
    <xf numFmtId="0" fontId="0" fillId="0" borderId="14" xfId="0" applyBorder="1" applyAlignment="1">
      <alignment vertical="center" wrapText="1"/>
    </xf>
    <xf numFmtId="0" fontId="0" fillId="0" borderId="5" xfId="0" applyBorder="1" applyAlignment="1">
      <alignment horizontal="left" vertical="center" wrapText="1"/>
    </xf>
    <xf numFmtId="0" fontId="0" fillId="2" borderId="3" xfId="0" applyFill="1" applyBorder="1" applyAlignment="1" applyProtection="1">
      <alignment horizontal="center" vertical="center"/>
      <protection locked="0"/>
    </xf>
    <xf numFmtId="0" fontId="0" fillId="2" borderId="0" xfId="0" applyFill="1" applyAlignment="1" applyProtection="1">
      <alignment horizontal="center" vertical="center"/>
      <protection locked="0"/>
    </xf>
    <xf numFmtId="0" fontId="0" fillId="2" borderId="15" xfId="0" applyFill="1" applyBorder="1" applyAlignment="1" applyProtection="1">
      <alignment horizontal="center" vertical="center"/>
      <protection locked="0"/>
    </xf>
    <xf numFmtId="0" fontId="0" fillId="2" borderId="0" xfId="0" applyFill="1" applyAlignment="1">
      <alignment horizontal="center" vertical="center"/>
    </xf>
    <xf numFmtId="0" fontId="2" fillId="2" borderId="0" xfId="0" applyFont="1" applyFill="1" applyAlignment="1">
      <alignment horizontal="left" vertical="top" wrapText="1"/>
    </xf>
    <xf numFmtId="0" fontId="37" fillId="11" borderId="2" xfId="0" applyFont="1" applyFill="1" applyBorder="1" applyAlignment="1">
      <alignment horizontal="center" vertical="center" textRotation="90" wrapText="1"/>
    </xf>
    <xf numFmtId="0" fontId="0" fillId="0" borderId="6" xfId="0" applyBorder="1" applyAlignment="1">
      <alignment horizontal="center" vertical="center" wrapText="1"/>
    </xf>
    <xf numFmtId="0" fontId="0" fillId="2" borderId="6" xfId="0" applyFill="1" applyBorder="1" applyAlignment="1">
      <alignment horizontal="center" vertical="center" wrapText="1"/>
    </xf>
    <xf numFmtId="0" fontId="37" fillId="11" borderId="22" xfId="0" applyFont="1" applyFill="1" applyBorder="1" applyAlignment="1">
      <alignment horizontal="center" vertical="center" textRotation="90" wrapText="1"/>
    </xf>
    <xf numFmtId="0" fontId="37" fillId="11" borderId="23" xfId="0" applyFont="1" applyFill="1" applyBorder="1" applyAlignment="1">
      <alignment horizontal="center" vertical="center" textRotation="90" wrapText="1"/>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21" borderId="23" xfId="0" applyFont="1" applyFill="1" applyBorder="1" applyAlignment="1">
      <alignment horizontal="center" vertical="center"/>
    </xf>
    <xf numFmtId="0" fontId="3" fillId="21" borderId="24" xfId="0" applyFont="1" applyFill="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2" borderId="8" xfId="0" applyFill="1" applyBorder="1" applyAlignment="1">
      <alignment horizontal="center" vertical="center" wrapText="1"/>
    </xf>
    <xf numFmtId="0" fontId="0" fillId="2" borderId="22" xfId="0" applyFill="1" applyBorder="1" applyAlignment="1">
      <alignment horizontal="center" vertical="center"/>
    </xf>
    <xf numFmtId="0" fontId="0" fillId="2" borderId="23" xfId="0" applyFill="1" applyBorder="1" applyAlignment="1">
      <alignment horizontal="center" vertical="center"/>
    </xf>
    <xf numFmtId="0" fontId="0" fillId="22" borderId="5" xfId="0" applyFill="1" applyBorder="1" applyAlignment="1">
      <alignment horizontal="center" vertical="center"/>
    </xf>
    <xf numFmtId="0" fontId="34" fillId="11" borderId="6" xfId="0" applyFont="1" applyFill="1" applyBorder="1" applyAlignment="1">
      <alignment horizontal="center" vertical="center"/>
    </xf>
    <xf numFmtId="0" fontId="22" fillId="0" borderId="0" xfId="12" applyFont="1" applyAlignment="1">
      <alignment horizontal="center" vertical="center"/>
    </xf>
    <xf numFmtId="0" fontId="0" fillId="2" borderId="2" xfId="0" applyFill="1" applyBorder="1" applyAlignment="1" applyProtection="1">
      <alignment horizontal="center" vertical="center"/>
      <protection locked="0"/>
    </xf>
    <xf numFmtId="0" fontId="0" fillId="2" borderId="3" xfId="0" applyFill="1" applyBorder="1" applyAlignment="1">
      <alignment vertical="center"/>
    </xf>
    <xf numFmtId="0" fontId="0" fillId="2" borderId="6" xfId="0" applyFill="1" applyBorder="1" applyAlignment="1" applyProtection="1">
      <alignment horizontal="center" vertical="center"/>
      <protection locked="0"/>
    </xf>
    <xf numFmtId="0" fontId="0" fillId="2" borderId="8" xfId="0" applyFill="1" applyBorder="1" applyAlignment="1" applyProtection="1">
      <alignment horizontal="center" vertical="center"/>
      <protection locked="0"/>
    </xf>
    <xf numFmtId="0" fontId="0" fillId="0" borderId="6" xfId="0" applyBorder="1" applyAlignment="1">
      <alignment horizontal="left" vertical="center" wrapText="1"/>
    </xf>
    <xf numFmtId="0" fontId="3" fillId="0" borderId="2" xfId="0" applyFont="1" applyBorder="1" applyAlignment="1">
      <alignment horizontal="left" vertical="center" wrapText="1"/>
    </xf>
    <xf numFmtId="0" fontId="0" fillId="0" borderId="0" xfId="0" applyAlignment="1">
      <alignment horizontal="right" vertical="center"/>
    </xf>
    <xf numFmtId="0" fontId="3" fillId="0" borderId="41" xfId="0" applyFont="1" applyBorder="1" applyAlignment="1">
      <alignment horizontal="center" vertical="center"/>
    </xf>
    <xf numFmtId="0" fontId="3" fillId="21" borderId="42" xfId="0" applyFont="1" applyFill="1" applyBorder="1" applyAlignment="1">
      <alignment horizontal="center" vertical="center"/>
    </xf>
    <xf numFmtId="0" fontId="3" fillId="21" borderId="33" xfId="0" applyFont="1" applyFill="1" applyBorder="1" applyAlignment="1">
      <alignment horizontal="center" vertical="center"/>
    </xf>
    <xf numFmtId="0" fontId="0" fillId="0" borderId="41" xfId="0" applyBorder="1" applyAlignment="1">
      <alignment horizontal="center" vertical="center"/>
    </xf>
    <xf numFmtId="0" fontId="0" fillId="2" borderId="40" xfId="0" applyFill="1" applyBorder="1" applyAlignment="1">
      <alignment horizontal="center" vertical="center"/>
    </xf>
    <xf numFmtId="0" fontId="3" fillId="21" borderId="41" xfId="0" applyFont="1" applyFill="1" applyBorder="1" applyAlignment="1">
      <alignment horizontal="center" vertical="center"/>
    </xf>
    <xf numFmtId="0" fontId="0" fillId="2" borderId="42" xfId="0" applyFill="1" applyBorder="1" applyAlignment="1">
      <alignment horizontal="center" vertical="center"/>
    </xf>
    <xf numFmtId="0" fontId="3" fillId="21" borderId="2" xfId="0" applyFont="1" applyFill="1" applyBorder="1" applyAlignment="1">
      <alignment horizontal="center" vertical="center"/>
    </xf>
    <xf numFmtId="0" fontId="3" fillId="21" borderId="22" xfId="0" applyFont="1" applyFill="1" applyBorder="1" applyAlignment="1">
      <alignment horizontal="center" vertical="center"/>
    </xf>
    <xf numFmtId="0" fontId="0" fillId="2" borderId="6" xfId="0" applyFill="1" applyBorder="1" applyAlignment="1">
      <alignment horizontal="center" vertical="center"/>
    </xf>
    <xf numFmtId="0" fontId="3" fillId="21" borderId="39" xfId="0" applyFont="1" applyFill="1" applyBorder="1" applyAlignment="1">
      <alignment horizontal="center" vertical="center"/>
    </xf>
    <xf numFmtId="0" fontId="1" fillId="0" borderId="0" xfId="1" applyBorder="1" applyAlignment="1">
      <alignment horizontal="left"/>
    </xf>
    <xf numFmtId="0" fontId="1" fillId="2" borderId="3" xfId="1" applyFill="1" applyBorder="1" applyAlignment="1">
      <alignment horizontal="center" vertical="center" wrapText="1"/>
    </xf>
    <xf numFmtId="0" fontId="1" fillId="2" borderId="0" xfId="1" applyFill="1" applyBorder="1" applyAlignment="1">
      <alignment horizontal="center" vertical="center" wrapText="1"/>
    </xf>
    <xf numFmtId="0" fontId="6" fillId="3" borderId="7" xfId="0" applyFont="1" applyFill="1" applyBorder="1" applyAlignment="1">
      <alignment horizontal="center" vertical="center" wrapText="1"/>
    </xf>
    <xf numFmtId="49" fontId="2" fillId="3" borderId="7" xfId="0" applyNumberFormat="1" applyFont="1" applyFill="1" applyBorder="1" applyAlignment="1">
      <alignment horizontal="center" vertical="center"/>
    </xf>
    <xf numFmtId="0" fontId="0" fillId="3" borderId="7" xfId="0" applyFill="1" applyBorder="1" applyAlignment="1">
      <alignment horizontal="center" vertical="center"/>
    </xf>
    <xf numFmtId="0" fontId="0" fillId="0" borderId="2" xfId="0" applyBorder="1"/>
    <xf numFmtId="0" fontId="3" fillId="2" borderId="0" xfId="12" quotePrefix="1" applyFont="1" applyFill="1" applyAlignment="1">
      <alignment horizontal="center"/>
    </xf>
    <xf numFmtId="0" fontId="1" fillId="0" borderId="0" xfId="1"/>
    <xf numFmtId="0" fontId="0" fillId="0" borderId="11"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45" fillId="0" borderId="2" xfId="0" applyFont="1" applyBorder="1" applyAlignment="1">
      <alignment vertical="center"/>
    </xf>
    <xf numFmtId="0" fontId="45" fillId="2" borderId="2" xfId="0" applyFont="1" applyFill="1" applyBorder="1" applyAlignment="1">
      <alignment vertical="center"/>
    </xf>
    <xf numFmtId="16" fontId="0" fillId="0" borderId="2" xfId="0" applyNumberFormat="1" applyBorder="1" applyAlignment="1">
      <alignment horizontal="center" vertical="center"/>
    </xf>
    <xf numFmtId="0" fontId="1" fillId="0" borderId="15" xfId="1" applyFill="1" applyBorder="1" applyAlignment="1">
      <alignment vertical="center"/>
    </xf>
    <xf numFmtId="0" fontId="35" fillId="0" borderId="0" xfId="0" applyFont="1" applyAlignment="1">
      <alignment vertical="center"/>
    </xf>
    <xf numFmtId="16" fontId="35" fillId="0" borderId="0" xfId="0" applyNumberFormat="1" applyFont="1" applyAlignment="1">
      <alignment vertical="center"/>
    </xf>
    <xf numFmtId="0" fontId="4" fillId="0" borderId="6" xfId="0" applyFont="1" applyBorder="1" applyAlignment="1">
      <alignment horizontal="left" vertical="top" wrapText="1"/>
    </xf>
    <xf numFmtId="0" fontId="0" fillId="0" borderId="7" xfId="0" applyBorder="1" applyAlignment="1">
      <alignment horizontal="left" vertical="top"/>
    </xf>
    <xf numFmtId="0" fontId="0" fillId="0" borderId="8" xfId="0" applyBorder="1" applyAlignment="1">
      <alignment horizontal="left" vertical="top"/>
    </xf>
    <xf numFmtId="0" fontId="0" fillId="2" borderId="1" xfId="0" applyFill="1" applyBorder="1" applyAlignment="1">
      <alignment horizontal="right" vertical="center"/>
    </xf>
    <xf numFmtId="0" fontId="0" fillId="2" borderId="10" xfId="0" applyFill="1" applyBorder="1" applyAlignment="1">
      <alignment horizontal="right" vertical="center"/>
    </xf>
    <xf numFmtId="0" fontId="40" fillId="12" borderId="0" xfId="0" applyFont="1" applyFill="1" applyAlignment="1">
      <alignment horizontal="center" vertical="center" wrapText="1"/>
    </xf>
    <xf numFmtId="0" fontId="4" fillId="0" borderId="2" xfId="0" applyFon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15"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4" fillId="0" borderId="9" xfId="0" applyFont="1" applyBorder="1" applyAlignment="1">
      <alignment horizontal="center" vertical="center"/>
    </xf>
    <xf numFmtId="0" fontId="4" fillId="0" borderId="3"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4" fillId="8" borderId="0" xfId="0" applyFont="1" applyFill="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0" fillId="0" borderId="0" xfId="0" applyAlignment="1">
      <alignment horizontal="right"/>
    </xf>
    <xf numFmtId="0" fontId="0" fillId="0" borderId="0" xfId="0" applyAlignment="1">
      <alignment horizontal="center"/>
    </xf>
    <xf numFmtId="0" fontId="32" fillId="12" borderId="16" xfId="0" applyFont="1" applyFill="1" applyBorder="1" applyAlignment="1">
      <alignment horizontal="center" vertical="center"/>
    </xf>
    <xf numFmtId="0" fontId="32" fillId="12" borderId="0" xfId="0" applyFont="1" applyFill="1" applyAlignment="1">
      <alignment horizontal="center" vertical="center"/>
    </xf>
    <xf numFmtId="0" fontId="38" fillId="11" borderId="31" xfId="12" applyFont="1" applyFill="1" applyBorder="1" applyAlignment="1">
      <alignment horizontal="center" vertical="center"/>
    </xf>
    <xf numFmtId="0" fontId="38" fillId="11" borderId="0" xfId="12" applyFont="1" applyFill="1" applyAlignment="1">
      <alignment horizontal="center" vertical="center"/>
    </xf>
    <xf numFmtId="0" fontId="38" fillId="11" borderId="26" xfId="12" applyFont="1" applyFill="1" applyBorder="1" applyAlignment="1">
      <alignment horizontal="center" vertical="center"/>
    </xf>
    <xf numFmtId="0" fontId="38" fillId="11" borderId="28" xfId="12" applyFont="1" applyFill="1" applyBorder="1" applyAlignment="1">
      <alignment horizontal="center" vertical="center"/>
    </xf>
    <xf numFmtId="0" fontId="38" fillId="11" borderId="29" xfId="12" applyFont="1" applyFill="1" applyBorder="1" applyAlignment="1">
      <alignment horizontal="center" vertical="center"/>
    </xf>
    <xf numFmtId="0" fontId="38" fillId="11" borderId="30" xfId="12" applyFont="1" applyFill="1" applyBorder="1" applyAlignment="1">
      <alignment horizontal="center" vertical="center"/>
    </xf>
    <xf numFmtId="0" fontId="0" fillId="0" borderId="2" xfId="0" applyBorder="1" applyAlignment="1">
      <alignment horizontal="center" vertical="center" wrapText="1"/>
    </xf>
    <xf numFmtId="0" fontId="39" fillId="0" borderId="9" xfId="0" applyFont="1" applyBorder="1" applyAlignment="1">
      <alignment horizontal="center" vertical="center" wrapText="1"/>
    </xf>
    <xf numFmtId="0" fontId="39" fillId="0" borderId="10" xfId="0" applyFont="1" applyBorder="1" applyAlignment="1">
      <alignment horizontal="center" vertical="center" wrapText="1"/>
    </xf>
    <xf numFmtId="0" fontId="39" fillId="0" borderId="3" xfId="0" applyFont="1" applyBorder="1" applyAlignment="1">
      <alignment horizontal="center" vertical="center" wrapText="1"/>
    </xf>
    <xf numFmtId="0" fontId="39" fillId="0" borderId="15" xfId="0" applyFont="1" applyBorder="1" applyAlignment="1">
      <alignment horizontal="center" vertical="center" wrapText="1"/>
    </xf>
    <xf numFmtId="0" fontId="0" fillId="18" borderId="6" xfId="0" applyFill="1" applyBorder="1" applyAlignment="1">
      <alignment horizontal="center" vertical="center" wrapText="1"/>
    </xf>
    <xf numFmtId="0" fontId="0" fillId="18" borderId="7" xfId="0" applyFill="1" applyBorder="1" applyAlignment="1">
      <alignment horizontal="center" vertical="center" wrapText="1"/>
    </xf>
    <xf numFmtId="0" fontId="34" fillId="16" borderId="10" xfId="15" applyFont="1" applyBorder="1" applyAlignment="1">
      <alignment horizontal="center" vertical="center" wrapText="1"/>
    </xf>
    <xf numFmtId="0" fontId="34" fillId="16" borderId="13" xfId="15" applyFont="1" applyBorder="1" applyAlignment="1">
      <alignment horizontal="center" vertical="center" wrapText="1"/>
    </xf>
    <xf numFmtId="0" fontId="2" fillId="18" borderId="5" xfId="0" applyFont="1" applyFill="1" applyBorder="1" applyAlignment="1">
      <alignment horizontal="center" vertical="center" wrapText="1"/>
    </xf>
    <xf numFmtId="0" fontId="2" fillId="18" borderId="14" xfId="0" applyFont="1" applyFill="1" applyBorder="1" applyAlignment="1">
      <alignment horizontal="center" vertical="center" wrapText="1"/>
    </xf>
    <xf numFmtId="0" fontId="34" fillId="14" borderId="10" xfId="13" applyFont="1" applyBorder="1" applyAlignment="1">
      <alignment horizontal="center" vertical="center" wrapText="1"/>
    </xf>
    <xf numFmtId="0" fontId="34" fillId="14" borderId="13" xfId="13" applyFont="1" applyBorder="1" applyAlignment="1">
      <alignment horizontal="center" vertical="center" wrapText="1"/>
    </xf>
    <xf numFmtId="0" fontId="5" fillId="7" borderId="5" xfId="1" applyFont="1" applyFill="1" applyBorder="1" applyAlignment="1">
      <alignment horizontal="center" vertical="center" wrapText="1"/>
    </xf>
    <xf numFmtId="0" fontId="5" fillId="7" borderId="14" xfId="1" applyFont="1" applyFill="1" applyBorder="1" applyAlignment="1">
      <alignment horizontal="center" vertical="center" wrapText="1"/>
    </xf>
    <xf numFmtId="0" fontId="34" fillId="15" borderId="10" xfId="14" applyFont="1" applyBorder="1" applyAlignment="1">
      <alignment horizontal="center" vertical="center" wrapText="1"/>
    </xf>
    <xf numFmtId="0" fontId="34" fillId="15" borderId="13" xfId="14" applyFont="1" applyBorder="1" applyAlignment="1">
      <alignment horizontal="center" vertical="center" wrapText="1"/>
    </xf>
    <xf numFmtId="0" fontId="4" fillId="18" borderId="7" xfId="0" applyFont="1" applyFill="1" applyBorder="1" applyAlignment="1">
      <alignment horizontal="center" vertical="center" wrapText="1"/>
    </xf>
    <xf numFmtId="0" fontId="34" fillId="17" borderId="5" xfId="16" applyFont="1" applyBorder="1" applyAlignment="1">
      <alignment horizontal="center" vertical="center"/>
    </xf>
    <xf numFmtId="0" fontId="34" fillId="17" borderId="14" xfId="16" applyFont="1" applyBorder="1" applyAlignment="1">
      <alignment horizontal="center" vertical="center"/>
    </xf>
    <xf numFmtId="2" fontId="0" fillId="0" borderId="9" xfId="0" applyNumberFormat="1" applyBorder="1" applyAlignment="1">
      <alignment horizontal="center" vertical="center"/>
    </xf>
    <xf numFmtId="2" fontId="0" fillId="0" borderId="10" xfId="0" applyNumberFormat="1" applyBorder="1" applyAlignment="1">
      <alignment horizontal="center" vertical="center"/>
    </xf>
    <xf numFmtId="2" fontId="0" fillId="0" borderId="11" xfId="0" applyNumberFormat="1" applyBorder="1" applyAlignment="1">
      <alignment horizontal="center" vertical="center"/>
    </xf>
    <xf numFmtId="2" fontId="0" fillId="0" borderId="13" xfId="0" applyNumberFormat="1" applyBorder="1" applyAlignment="1">
      <alignment horizontal="center" vertical="center"/>
    </xf>
    <xf numFmtId="2" fontId="34" fillId="19" borderId="5" xfId="16" applyNumberFormat="1" applyFont="1" applyFill="1" applyBorder="1" applyAlignment="1">
      <alignment horizontal="center" vertical="center"/>
    </xf>
    <xf numFmtId="2" fontId="34" fillId="19" borderId="14" xfId="16" applyNumberFormat="1" applyFont="1" applyFill="1" applyBorder="1" applyAlignment="1">
      <alignment horizontal="center" vertical="center"/>
    </xf>
    <xf numFmtId="0" fontId="43" fillId="20" borderId="5" xfId="20" applyBorder="1" applyAlignment="1">
      <alignment horizontal="center" vertical="center" textRotation="255" wrapText="1"/>
    </xf>
    <xf numFmtId="0" fontId="43" fillId="20" borderId="4" xfId="20" applyBorder="1" applyAlignment="1">
      <alignment horizontal="center" vertical="center" textRotation="255" wrapText="1"/>
    </xf>
    <xf numFmtId="0" fontId="34" fillId="8" borderId="10" xfId="15" applyFont="1" applyFill="1" applyBorder="1" applyAlignment="1">
      <alignment horizontal="center" vertical="center" wrapText="1"/>
    </xf>
    <xf numFmtId="0" fontId="34" fillId="8" borderId="13" xfId="15" applyFont="1" applyFill="1" applyBorder="1" applyAlignment="1">
      <alignment horizontal="center" vertical="center" wrapText="1"/>
    </xf>
    <xf numFmtId="0" fontId="43" fillId="20" borderId="14" xfId="20" applyBorder="1" applyAlignment="1">
      <alignment horizontal="center" vertical="center" textRotation="255" wrapText="1"/>
    </xf>
    <xf numFmtId="0" fontId="5" fillId="7" borderId="4" xfId="1" applyFont="1" applyFill="1" applyBorder="1" applyAlignment="1">
      <alignment horizontal="center" vertical="center" wrapText="1"/>
    </xf>
    <xf numFmtId="0" fontId="5" fillId="6" borderId="5" xfId="1" applyFont="1" applyFill="1" applyBorder="1" applyAlignment="1">
      <alignment horizontal="center" vertical="center" wrapText="1"/>
    </xf>
    <xf numFmtId="0" fontId="5" fillId="6" borderId="14" xfId="1" applyFont="1" applyFill="1" applyBorder="1" applyAlignment="1">
      <alignment horizontal="center" vertical="center" wrapText="1"/>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44" fillId="7" borderId="5" xfId="1" applyFont="1" applyFill="1" applyBorder="1" applyAlignment="1">
      <alignment horizontal="center" vertical="center" wrapText="1"/>
    </xf>
    <xf numFmtId="0" fontId="44" fillId="7" borderId="14" xfId="1" applyFont="1" applyFill="1" applyBorder="1" applyAlignment="1">
      <alignment horizontal="center" vertical="center" wrapText="1"/>
    </xf>
    <xf numFmtId="0" fontId="4" fillId="7" borderId="7" xfId="0" applyFont="1" applyFill="1" applyBorder="1" applyAlignment="1">
      <alignment horizontal="center" vertical="center"/>
    </xf>
    <xf numFmtId="0" fontId="5" fillId="3" borderId="2" xfId="1" applyFont="1" applyFill="1" applyBorder="1" applyAlignment="1">
      <alignment horizontal="center" vertical="center" wrapText="1"/>
    </xf>
    <xf numFmtId="0" fontId="4" fillId="6" borderId="7" xfId="0" applyFont="1" applyFill="1" applyBorder="1" applyAlignment="1">
      <alignment horizontal="center" vertical="center"/>
    </xf>
    <xf numFmtId="0" fontId="0" fillId="6" borderId="6" xfId="0" applyFill="1" applyBorder="1" applyAlignment="1">
      <alignment horizontal="center" vertical="center"/>
    </xf>
    <xf numFmtId="0" fontId="0" fillId="6" borderId="7" xfId="0" applyFill="1" applyBorder="1" applyAlignment="1">
      <alignment horizontal="center" vertical="center"/>
    </xf>
    <xf numFmtId="0" fontId="0" fillId="2" borderId="2" xfId="0" applyFill="1" applyBorder="1" applyAlignment="1">
      <alignment horizontal="center" vertical="center"/>
    </xf>
    <xf numFmtId="0" fontId="2" fillId="3" borderId="2" xfId="1" applyFont="1" applyFill="1" applyBorder="1" applyAlignment="1">
      <alignment horizontal="center" vertical="center" wrapText="1"/>
    </xf>
    <xf numFmtId="0" fontId="0" fillId="0" borderId="2" xfId="0" applyBorder="1" applyAlignment="1">
      <alignment horizontal="center" vertical="center"/>
    </xf>
    <xf numFmtId="0" fontId="0" fillId="7" borderId="6" xfId="0" applyFill="1" applyBorder="1" applyAlignment="1">
      <alignment horizontal="center" vertical="center"/>
    </xf>
    <xf numFmtId="0" fontId="0" fillId="7" borderId="7" xfId="0" applyFill="1" applyBorder="1" applyAlignment="1">
      <alignment horizontal="center" vertical="center"/>
    </xf>
    <xf numFmtId="0" fontId="45" fillId="0" borderId="2" xfId="0" applyFont="1" applyBorder="1" applyAlignment="1">
      <alignment horizontal="center" vertical="center" wrapText="1"/>
    </xf>
    <xf numFmtId="0" fontId="46" fillId="0" borderId="2" xfId="0" applyFont="1" applyBorder="1" applyAlignment="1">
      <alignment horizontal="center" vertical="center" wrapText="1"/>
    </xf>
    <xf numFmtId="0" fontId="45" fillId="0" borderId="2" xfId="0" applyFont="1" applyBorder="1" applyAlignment="1">
      <alignment horizontal="center" vertical="center"/>
    </xf>
    <xf numFmtId="0" fontId="0" fillId="0" borderId="5" xfId="0" applyBorder="1" applyAlignment="1">
      <alignment horizontal="center" vertical="center"/>
    </xf>
    <xf numFmtId="0" fontId="0" fillId="0" borderId="14" xfId="0" applyBorder="1" applyAlignment="1">
      <alignment horizontal="center" vertical="center"/>
    </xf>
    <xf numFmtId="165" fontId="39" fillId="0" borderId="2" xfId="0" applyNumberFormat="1" applyFont="1" applyBorder="1" applyAlignment="1">
      <alignment horizontal="center" vertical="center" wrapText="1"/>
    </xf>
    <xf numFmtId="2" fontId="39" fillId="0" borderId="2" xfId="0" applyNumberFormat="1" applyFont="1" applyBorder="1" applyAlignment="1">
      <alignment horizontal="center" vertical="center"/>
    </xf>
    <xf numFmtId="0" fontId="46" fillId="0" borderId="2" xfId="0" applyFont="1" applyBorder="1" applyAlignment="1">
      <alignment horizontal="center" vertical="center"/>
    </xf>
    <xf numFmtId="0" fontId="48" fillId="0" borderId="2" xfId="0" applyFont="1" applyBorder="1" applyAlignment="1">
      <alignment horizontal="center" vertical="center" wrapText="1"/>
    </xf>
    <xf numFmtId="0" fontId="48" fillId="0" borderId="2" xfId="0" applyFont="1" applyBorder="1" applyAlignment="1">
      <alignment horizontal="center" vertical="center"/>
    </xf>
    <xf numFmtId="16" fontId="45" fillId="0" borderId="2" xfId="0" applyNumberFormat="1" applyFont="1" applyBorder="1" applyAlignment="1">
      <alignment horizontal="center" vertical="center" wrapText="1"/>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4" fillId="3" borderId="7" xfId="0" applyFont="1" applyFill="1" applyBorder="1" applyAlignment="1">
      <alignment horizontal="center" vertical="center"/>
    </xf>
    <xf numFmtId="0" fontId="33" fillId="13" borderId="2" xfId="0" applyFont="1" applyFill="1" applyBorder="1" applyAlignment="1">
      <alignment horizontal="center" vertical="center" wrapText="1"/>
    </xf>
    <xf numFmtId="0" fontId="0" fillId="2" borderId="1" xfId="0" applyFill="1" applyBorder="1" applyAlignment="1">
      <alignment horizontal="center" vertical="center"/>
    </xf>
    <xf numFmtId="0" fontId="1" fillId="2" borderId="3" xfId="1" applyFill="1" applyBorder="1" applyAlignment="1">
      <alignment horizontal="center" vertical="center" wrapText="1"/>
    </xf>
    <xf numFmtId="0" fontId="1" fillId="2" borderId="0" xfId="1" applyFill="1" applyAlignment="1">
      <alignment horizontal="center" vertical="center" wrapText="1"/>
    </xf>
    <xf numFmtId="0" fontId="0" fillId="2" borderId="12" xfId="0" applyFill="1" applyBorder="1" applyAlignment="1">
      <alignment horizontal="left" vertical="center" wrapText="1"/>
    </xf>
    <xf numFmtId="0" fontId="1" fillId="0" borderId="9" xfId="1" applyBorder="1" applyAlignment="1">
      <alignment horizontal="center" vertical="center" wrapText="1"/>
    </xf>
    <xf numFmtId="0" fontId="1" fillId="0" borderId="10" xfId="1" applyBorder="1" applyAlignment="1">
      <alignment horizontal="center" vertical="center" wrapText="1"/>
    </xf>
    <xf numFmtId="0" fontId="1" fillId="2" borderId="15" xfId="1" applyFill="1" applyBorder="1" applyAlignment="1">
      <alignment horizontal="center" vertical="center" wrapText="1"/>
    </xf>
    <xf numFmtId="0" fontId="1" fillId="2" borderId="9" xfId="1" applyFill="1" applyBorder="1" applyAlignment="1">
      <alignment horizontal="center" vertical="center" wrapText="1"/>
    </xf>
    <xf numFmtId="0" fontId="1" fillId="2" borderId="1" xfId="1" applyFill="1" applyBorder="1" applyAlignment="1">
      <alignment horizontal="center" vertical="center" wrapText="1"/>
    </xf>
    <xf numFmtId="164" fontId="0" fillId="2" borderId="11" xfId="0" applyNumberFormat="1" applyFill="1" applyBorder="1" applyAlignment="1">
      <alignment horizontal="center" vertical="center"/>
    </xf>
    <xf numFmtId="164" fontId="0" fillId="2" borderId="13" xfId="0" applyNumberFormat="1" applyFill="1" applyBorder="1" applyAlignment="1">
      <alignment horizontal="center" vertical="center"/>
    </xf>
    <xf numFmtId="0" fontId="34" fillId="11" borderId="5" xfId="0" applyFont="1" applyFill="1" applyBorder="1" applyAlignment="1">
      <alignment horizontal="center" vertical="center"/>
    </xf>
    <xf numFmtId="0" fontId="34" fillId="11" borderId="14" xfId="0" applyFont="1" applyFill="1" applyBorder="1" applyAlignment="1">
      <alignment horizontal="center" vertical="center"/>
    </xf>
    <xf numFmtId="0" fontId="34" fillId="11" borderId="9" xfId="0" applyFont="1" applyFill="1" applyBorder="1" applyAlignment="1">
      <alignment horizontal="center" vertical="center" wrapText="1"/>
    </xf>
    <xf numFmtId="0" fontId="34" fillId="11" borderId="11" xfId="0" applyFont="1" applyFill="1" applyBorder="1" applyAlignment="1">
      <alignment horizontal="center" vertical="center" wrapText="1"/>
    </xf>
    <xf numFmtId="0" fontId="34" fillId="11" borderId="38" xfId="0" applyFont="1" applyFill="1" applyBorder="1" applyAlignment="1">
      <alignment horizontal="center" vertical="center" wrapText="1"/>
    </xf>
    <xf numFmtId="0" fontId="34" fillId="11" borderId="36" xfId="0" applyFont="1" applyFill="1" applyBorder="1" applyAlignment="1">
      <alignment horizontal="center" vertical="center" wrapText="1"/>
    </xf>
    <xf numFmtId="0" fontId="34" fillId="11" borderId="37" xfId="0" applyFont="1" applyFill="1" applyBorder="1" applyAlignment="1">
      <alignment horizontal="center" vertical="center" wrapText="1"/>
    </xf>
    <xf numFmtId="0" fontId="0" fillId="2" borderId="0" xfId="0" applyFill="1" applyAlignment="1">
      <alignment horizontal="left" vertical="center" wrapText="1"/>
    </xf>
    <xf numFmtId="0" fontId="34" fillId="11" borderId="10" xfId="0" applyFont="1" applyFill="1" applyBorder="1" applyAlignment="1">
      <alignment horizontal="center" vertical="center" wrapText="1"/>
    </xf>
    <xf numFmtId="0" fontId="34" fillId="11" borderId="13" xfId="0" applyFont="1" applyFill="1" applyBorder="1" applyAlignment="1">
      <alignment horizontal="center" vertical="center" wrapText="1"/>
    </xf>
    <xf numFmtId="0" fontId="34" fillId="11" borderId="5" xfId="0" applyFont="1" applyFill="1" applyBorder="1" applyAlignment="1">
      <alignment horizontal="center" vertical="center" wrapText="1"/>
    </xf>
    <xf numFmtId="0" fontId="34" fillId="11" borderId="14" xfId="0" applyFont="1" applyFill="1" applyBorder="1" applyAlignment="1">
      <alignment horizontal="center" vertical="center" wrapText="1"/>
    </xf>
    <xf numFmtId="0" fontId="37" fillId="11" borderId="9" xfId="0" applyFont="1" applyFill="1" applyBorder="1" applyAlignment="1">
      <alignment horizontal="center" vertical="center" wrapText="1"/>
    </xf>
    <xf numFmtId="0" fontId="37" fillId="11" borderId="3" xfId="0" applyFont="1" applyFill="1" applyBorder="1" applyAlignment="1">
      <alignment horizontal="center" vertical="center" wrapText="1"/>
    </xf>
    <xf numFmtId="0" fontId="1" fillId="2" borderId="0" xfId="1" applyFill="1" applyBorder="1" applyAlignment="1">
      <alignment horizontal="center" vertical="center" wrapText="1"/>
    </xf>
    <xf numFmtId="0" fontId="22" fillId="0" borderId="6" xfId="12" applyFont="1" applyBorder="1" applyAlignment="1">
      <alignment horizontal="center" vertical="center"/>
    </xf>
    <xf numFmtId="0" fontId="22" fillId="0" borderId="8" xfId="12" applyFont="1" applyBorder="1" applyAlignment="1">
      <alignment horizontal="center" vertical="center"/>
    </xf>
    <xf numFmtId="0" fontId="22" fillId="0" borderId="2" xfId="12" applyFont="1" applyBorder="1" applyAlignment="1">
      <alignment horizontal="center" vertical="center"/>
    </xf>
    <xf numFmtId="0" fontId="22" fillId="0" borderId="3" xfId="12" applyFont="1" applyBorder="1" applyAlignment="1">
      <alignment horizontal="center" vertical="center"/>
    </xf>
    <xf numFmtId="0" fontId="22" fillId="0" borderId="0" xfId="12" applyFont="1" applyAlignment="1">
      <alignment horizontal="center" vertical="center"/>
    </xf>
    <xf numFmtId="0" fontId="22" fillId="0" borderId="15" xfId="12" applyFont="1" applyBorder="1" applyAlignment="1">
      <alignment horizontal="center" vertical="center"/>
    </xf>
    <xf numFmtId="0" fontId="0" fillId="2" borderId="6" xfId="0" applyFill="1" applyBorder="1" applyAlignment="1" applyProtection="1">
      <alignment horizontal="center" vertical="center"/>
      <protection locked="0"/>
    </xf>
    <xf numFmtId="0" fontId="0" fillId="2" borderId="8" xfId="0" applyFill="1" applyBorder="1" applyAlignment="1" applyProtection="1">
      <alignment horizontal="center" vertical="center"/>
      <protection locked="0"/>
    </xf>
    <xf numFmtId="0" fontId="36" fillId="12" borderId="0" xfId="0" applyFont="1" applyFill="1" applyAlignment="1">
      <alignment horizontal="center" vertical="center"/>
    </xf>
    <xf numFmtId="0" fontId="36" fillId="12" borderId="1" xfId="0" applyFont="1" applyFill="1" applyBorder="1" applyAlignment="1">
      <alignment horizontal="center" vertical="center"/>
    </xf>
    <xf numFmtId="0" fontId="36" fillId="12" borderId="10" xfId="0" applyFont="1" applyFill="1" applyBorder="1" applyAlignment="1">
      <alignment horizontal="center" vertical="center"/>
    </xf>
    <xf numFmtId="0" fontId="36" fillId="12" borderId="15" xfId="0" applyFont="1" applyFill="1" applyBorder="1" applyAlignment="1">
      <alignment horizontal="center" vertical="center"/>
    </xf>
    <xf numFmtId="0" fontId="0" fillId="2" borderId="3" xfId="0" applyFill="1" applyBorder="1" applyAlignment="1">
      <alignment vertical="center"/>
    </xf>
    <xf numFmtId="0" fontId="0" fillId="2" borderId="0" xfId="0" applyFill="1" applyAlignment="1">
      <alignment vertical="center"/>
    </xf>
    <xf numFmtId="0" fontId="0" fillId="2" borderId="3" xfId="0" applyFill="1" applyBorder="1" applyAlignment="1">
      <alignment vertical="center" wrapText="1"/>
    </xf>
    <xf numFmtId="0" fontId="0" fillId="2" borderId="0" xfId="0" applyFill="1" applyAlignment="1">
      <alignment vertical="center" wrapText="1"/>
    </xf>
    <xf numFmtId="0" fontId="34" fillId="11" borderId="2" xfId="0" applyFont="1" applyFill="1" applyBorder="1" applyAlignment="1">
      <alignment horizontal="center" vertical="center"/>
    </xf>
    <xf numFmtId="0" fontId="0" fillId="2" borderId="2" xfId="0" applyFill="1" applyBorder="1" applyAlignment="1" applyProtection="1">
      <alignment horizontal="center" vertical="center"/>
      <protection locked="0"/>
    </xf>
    <xf numFmtId="0" fontId="34" fillId="11" borderId="6" xfId="0" applyFont="1" applyFill="1" applyBorder="1" applyAlignment="1">
      <alignment horizontal="center" vertical="center"/>
    </xf>
    <xf numFmtId="0" fontId="34" fillId="11" borderId="8" xfId="0" applyFont="1" applyFill="1" applyBorder="1" applyAlignment="1">
      <alignment horizontal="center" vertical="center"/>
    </xf>
    <xf numFmtId="0" fontId="12" fillId="0" borderId="0" xfId="2" applyFont="1" applyAlignment="1">
      <alignment wrapText="1"/>
    </xf>
    <xf numFmtId="0" fontId="10" fillId="4" borderId="7" xfId="2" applyFont="1" applyFill="1" applyBorder="1" applyAlignment="1">
      <alignment horizontal="center" vertical="center" wrapText="1"/>
    </xf>
    <xf numFmtId="0" fontId="19" fillId="0" borderId="0" xfId="2" applyFont="1" applyAlignment="1">
      <alignment horizontal="center" vertical="center"/>
    </xf>
    <xf numFmtId="0" fontId="10" fillId="4" borderId="5" xfId="2" applyFont="1" applyFill="1" applyBorder="1" applyAlignment="1">
      <alignment horizontal="center" vertical="center" wrapText="1"/>
    </xf>
    <xf numFmtId="0" fontId="10" fillId="4" borderId="14" xfId="2" applyFont="1" applyFill="1" applyBorder="1" applyAlignment="1">
      <alignment horizontal="center" vertical="center" wrapText="1"/>
    </xf>
    <xf numFmtId="0" fontId="10" fillId="4" borderId="5" xfId="2" applyFont="1" applyFill="1" applyBorder="1" applyAlignment="1">
      <alignment horizontal="center" vertical="center" textRotation="90" wrapText="1"/>
    </xf>
    <xf numFmtId="0" fontId="10" fillId="4" borderId="14" xfId="2" applyFont="1" applyFill="1" applyBorder="1" applyAlignment="1">
      <alignment horizontal="center" vertical="center" textRotation="90" wrapText="1"/>
    </xf>
  </cellXfs>
  <cellStyles count="22">
    <cellStyle name="60% - Accent5" xfId="15" builtinId="48"/>
    <cellStyle name="Accent3" xfId="13" builtinId="37"/>
    <cellStyle name="Accent4" xfId="14" builtinId="41"/>
    <cellStyle name="Accent6" xfId="16" builtinId="49"/>
    <cellStyle name="Bad" xfId="20" builtinId="27"/>
    <cellStyle name="Hyperlink" xfId="1" builtinId="8"/>
    <cellStyle name="Hyperlink 2" xfId="4" xr:uid="{00000000-0005-0000-0000-000006000000}"/>
    <cellStyle name="Normal" xfId="0" builtinId="0"/>
    <cellStyle name="Normal 13" xfId="11" xr:uid="{00000000-0005-0000-0000-000008000000}"/>
    <cellStyle name="Normal 2" xfId="3" xr:uid="{00000000-0005-0000-0000-000009000000}"/>
    <cellStyle name="Normal 2 2" xfId="6" xr:uid="{00000000-0005-0000-0000-00000A000000}"/>
    <cellStyle name="Normal 2 3" xfId="18" xr:uid="{00000000-0005-0000-0000-00000B000000}"/>
    <cellStyle name="Normal 3" xfId="7" xr:uid="{00000000-0005-0000-0000-00000C000000}"/>
    <cellStyle name="Normal 3 2" xfId="8" xr:uid="{00000000-0005-0000-0000-00000D000000}"/>
    <cellStyle name="Normal 4" xfId="9" xr:uid="{00000000-0005-0000-0000-00000E000000}"/>
    <cellStyle name="Normal 5" xfId="2" xr:uid="{00000000-0005-0000-0000-00000F000000}"/>
    <cellStyle name="Normal 6" xfId="19" xr:uid="{00000000-0005-0000-0000-000010000000}"/>
    <cellStyle name="Normal 9" xfId="12" xr:uid="{00000000-0005-0000-0000-000011000000}"/>
    <cellStyle name="Normal_ECC Project 20110627" xfId="5" xr:uid="{00000000-0005-0000-0000-000012000000}"/>
    <cellStyle name="Normale_M3M007_MASTER Audit Prodotto" xfId="10" xr:uid="{00000000-0005-0000-0000-000013000000}"/>
    <cellStyle name="Percent 2" xfId="21" xr:uid="{00000000-0005-0000-0000-000014000000}"/>
    <cellStyle name="一般_Pilot Run Report -2nd sample(20300)" xfId="17" xr:uid="{00000000-0005-0000-0000-000015000000}"/>
  </cellStyles>
  <dxfs count="84">
    <dxf>
      <font>
        <b/>
        <i val="0"/>
        <color rgb="FF0070C0"/>
      </font>
    </dxf>
    <dxf>
      <font>
        <b/>
        <i val="0"/>
        <color rgb="FFFF0000"/>
      </font>
    </dxf>
    <dxf>
      <font>
        <b/>
        <i val="0"/>
        <color rgb="FF0070C0"/>
      </font>
    </dxf>
    <dxf>
      <font>
        <b/>
        <i val="0"/>
        <color rgb="FFFF0000"/>
      </font>
    </dxf>
    <dxf>
      <font>
        <b/>
        <i val="0"/>
        <color rgb="FF0070C0"/>
      </font>
    </dxf>
    <dxf>
      <font>
        <b/>
        <i val="0"/>
        <color rgb="FFFF0000"/>
      </font>
    </dxf>
    <dxf>
      <font>
        <b/>
        <i val="0"/>
        <color rgb="FF0070C0"/>
      </font>
    </dxf>
    <dxf>
      <font>
        <b/>
        <i val="0"/>
        <color rgb="FFFF0000"/>
      </font>
    </dxf>
    <dxf>
      <font>
        <b/>
        <i val="0"/>
        <color rgb="FF0070C0"/>
      </font>
    </dxf>
    <dxf>
      <font>
        <b/>
        <i val="0"/>
        <color rgb="FFFF0000"/>
      </font>
    </dxf>
    <dxf>
      <font>
        <b/>
        <i val="0"/>
        <color rgb="FF0070C0"/>
      </font>
    </dxf>
    <dxf>
      <font>
        <b/>
        <i val="0"/>
        <color rgb="FFFF0000"/>
      </font>
    </dxf>
    <dxf>
      <font>
        <b/>
        <i val="0"/>
        <color rgb="FFFF0000"/>
      </font>
    </dxf>
    <dxf>
      <font>
        <b/>
        <i val="0"/>
        <color rgb="FF0070C0"/>
      </font>
    </dxf>
    <dxf>
      <font>
        <b/>
        <i val="0"/>
        <color rgb="FFFF0000"/>
      </font>
    </dxf>
    <dxf>
      <font>
        <b/>
        <i val="0"/>
        <color rgb="FF0070C0"/>
      </font>
    </dxf>
    <dxf>
      <font>
        <b/>
        <i val="0"/>
        <color rgb="FFFF0000"/>
      </font>
    </dxf>
    <dxf>
      <font>
        <b/>
        <i val="0"/>
        <color rgb="FF0070C0"/>
      </font>
    </dxf>
    <dxf>
      <font>
        <b/>
        <i val="0"/>
        <color rgb="FFFF0000"/>
      </font>
    </dxf>
    <dxf>
      <font>
        <b/>
        <i val="0"/>
        <color rgb="FF0070C0"/>
      </font>
    </dxf>
    <dxf>
      <font>
        <b/>
        <i val="0"/>
        <color rgb="FF0070C0"/>
      </font>
    </dxf>
    <dxf>
      <font>
        <b/>
        <i val="0"/>
        <color rgb="FFFF0000"/>
      </font>
    </dxf>
    <dxf>
      <font>
        <b/>
        <i val="0"/>
        <color rgb="FFFF0000"/>
      </font>
    </dxf>
    <dxf>
      <font>
        <b/>
        <i val="0"/>
        <color rgb="FF0070C0"/>
      </font>
    </dxf>
    <dxf>
      <font>
        <b/>
        <i val="0"/>
        <color rgb="FF0070C0"/>
      </font>
    </dxf>
    <dxf>
      <font>
        <b/>
        <i val="0"/>
        <color rgb="FFFF0000"/>
      </font>
    </dxf>
    <dxf>
      <font>
        <b/>
        <i val="0"/>
        <color rgb="FFFF0000"/>
      </font>
    </dxf>
    <dxf>
      <font>
        <b/>
        <i val="0"/>
        <color rgb="FF0070C0"/>
      </font>
    </dxf>
    <dxf>
      <font>
        <b/>
        <i val="0"/>
        <color rgb="FFFF0000"/>
      </font>
    </dxf>
    <dxf>
      <font>
        <b/>
        <i val="0"/>
        <color rgb="FF0070C0"/>
      </font>
    </dxf>
    <dxf>
      <font>
        <b/>
        <i val="0"/>
        <color rgb="FFFF0000"/>
      </font>
    </dxf>
    <dxf>
      <font>
        <b/>
        <i val="0"/>
        <color rgb="FF0070C0"/>
      </font>
    </dxf>
    <dxf>
      <font>
        <b/>
        <i val="0"/>
        <color rgb="FFFF0000"/>
      </font>
    </dxf>
    <dxf>
      <font>
        <b/>
        <i val="0"/>
        <color rgb="FF0070C0"/>
      </font>
    </dxf>
    <dxf>
      <font>
        <b/>
        <i val="0"/>
        <color rgb="FFFF0000"/>
      </font>
    </dxf>
    <dxf>
      <font>
        <b/>
        <i val="0"/>
        <color rgb="FF0070C0"/>
      </font>
    </dxf>
    <dxf>
      <font>
        <b/>
        <i val="0"/>
        <color rgb="FFFF0000"/>
      </font>
    </dxf>
    <dxf>
      <font>
        <b/>
        <i val="0"/>
        <color rgb="FF0070C0"/>
      </font>
    </dxf>
    <dxf>
      <font>
        <b/>
        <i val="0"/>
        <color rgb="FFFF0000"/>
      </font>
    </dxf>
    <dxf>
      <font>
        <b/>
        <i val="0"/>
        <color rgb="FF0070C0"/>
      </font>
    </dxf>
    <dxf>
      <font>
        <b/>
        <i val="0"/>
        <color rgb="FFFF0000"/>
      </font>
    </dxf>
    <dxf>
      <font>
        <b/>
        <i val="0"/>
        <color rgb="FF0070C0"/>
      </font>
    </dxf>
    <dxf>
      <font>
        <b/>
        <i val="0"/>
        <color rgb="FFFF0000"/>
      </font>
    </dxf>
    <dxf>
      <font>
        <b/>
        <i val="0"/>
        <color rgb="FF0070C0"/>
      </font>
    </dxf>
    <dxf>
      <font>
        <b/>
        <i val="0"/>
        <color rgb="FFFF0000"/>
      </font>
    </dxf>
    <dxf>
      <font>
        <b/>
        <i val="0"/>
        <color rgb="FF0070C0"/>
      </font>
    </dxf>
    <dxf>
      <font>
        <b/>
        <i val="0"/>
        <color rgb="FFFF0000"/>
      </font>
    </dxf>
    <dxf>
      <font>
        <b/>
        <i val="0"/>
        <color rgb="FF0070C0"/>
      </font>
    </dxf>
    <dxf>
      <font>
        <b/>
        <i val="0"/>
        <color rgb="FF0070C0"/>
      </font>
    </dxf>
    <dxf>
      <font>
        <b/>
        <i val="0"/>
        <color rgb="FFFF0000"/>
      </font>
    </dxf>
    <dxf>
      <font>
        <b/>
        <i val="0"/>
        <color rgb="FF0070C0"/>
      </font>
    </dxf>
    <dxf>
      <font>
        <b/>
        <i val="0"/>
        <color rgb="FFFF0000"/>
      </font>
    </dxf>
    <dxf>
      <font>
        <b/>
        <i val="0"/>
        <color rgb="FF0070C0"/>
      </font>
    </dxf>
    <dxf>
      <font>
        <b/>
        <i val="0"/>
        <color rgb="FFFF0000"/>
      </font>
    </dxf>
    <dxf>
      <font>
        <b/>
        <i val="0"/>
        <color rgb="FF0070C0"/>
      </font>
    </dxf>
    <dxf>
      <font>
        <b/>
        <i val="0"/>
        <color rgb="FFFF0000"/>
      </font>
    </dxf>
    <dxf>
      <font>
        <b/>
        <i val="0"/>
        <color rgb="FF006100"/>
      </font>
      <fill>
        <patternFill>
          <bgColor rgb="FFC6EFCE"/>
        </patternFill>
      </fill>
    </dxf>
    <dxf>
      <font>
        <color auto="1"/>
      </font>
      <fill>
        <patternFill>
          <bgColor theme="0" tint="-0.499984740745262"/>
        </patternFill>
      </fill>
    </dxf>
    <dxf>
      <font>
        <b/>
        <i val="0"/>
        <color rgb="FFFF0000"/>
      </font>
      <fill>
        <patternFill>
          <bgColor rgb="FFFFC000"/>
        </patternFill>
      </fill>
    </dxf>
    <dxf>
      <font>
        <b/>
        <i val="0"/>
        <color rgb="FF0070C0"/>
      </font>
      <fill>
        <patternFill>
          <bgColor rgb="FFCCECFF"/>
        </patternFill>
      </fill>
    </dxf>
    <dxf>
      <font>
        <b/>
        <i val="0"/>
        <color rgb="FFFFC000"/>
      </font>
      <fill>
        <patternFill>
          <bgColor rgb="FFFFFFCC"/>
        </patternFill>
      </fill>
    </dxf>
    <dxf>
      <font>
        <b/>
        <i val="0"/>
        <color rgb="FF006100"/>
      </font>
      <fill>
        <patternFill>
          <bgColor rgb="FFC6EFCE"/>
        </patternFill>
      </fill>
    </dxf>
    <dxf>
      <font>
        <b/>
        <i val="0"/>
        <color rgb="FFFFC000"/>
      </font>
      <fill>
        <patternFill>
          <bgColor rgb="FFFFFFCC"/>
        </patternFill>
      </fill>
    </dxf>
    <dxf>
      <font>
        <b/>
        <i val="0"/>
        <color rgb="FFFF0000"/>
      </font>
      <fill>
        <patternFill>
          <bgColor rgb="FFFFC000"/>
        </patternFill>
      </fill>
    </dxf>
    <dxf>
      <font>
        <color auto="1"/>
      </font>
      <fill>
        <patternFill>
          <bgColor theme="0" tint="-0.499984740745262"/>
        </patternFill>
      </fill>
    </dxf>
    <dxf>
      <font>
        <b/>
        <i val="0"/>
        <color rgb="FF0070C0"/>
      </font>
      <fill>
        <patternFill>
          <bgColor rgb="FFCCECFF"/>
        </patternFill>
      </fill>
    </dxf>
    <dxf>
      <font>
        <b/>
        <i val="0"/>
        <color rgb="FFFFC000"/>
      </font>
      <fill>
        <patternFill>
          <bgColor rgb="FFFFFFCC"/>
        </patternFill>
      </fill>
    </dxf>
    <dxf>
      <font>
        <b/>
        <i val="0"/>
        <color rgb="FF0070C0"/>
      </font>
      <fill>
        <patternFill>
          <bgColor rgb="FFCCECFF"/>
        </patternFill>
      </fill>
    </dxf>
    <dxf>
      <font>
        <b/>
        <i val="0"/>
        <color rgb="FFFF0000"/>
      </font>
      <fill>
        <patternFill>
          <bgColor rgb="FFFFC000"/>
        </patternFill>
      </fill>
    </dxf>
    <dxf>
      <font>
        <color auto="1"/>
      </font>
      <fill>
        <patternFill>
          <bgColor theme="0" tint="-0.499984740745262"/>
        </patternFill>
      </fill>
    </dxf>
    <dxf>
      <font>
        <b/>
        <i val="0"/>
        <color rgb="FF006100"/>
      </font>
      <fill>
        <patternFill>
          <bgColor rgb="FFC6EFCE"/>
        </patternFill>
      </fill>
    </dxf>
    <dxf>
      <font>
        <b/>
        <i val="0"/>
        <color rgb="FFFF0000"/>
      </font>
      <fill>
        <patternFill>
          <bgColor rgb="FFFFC000"/>
        </patternFill>
      </fill>
    </dxf>
    <dxf>
      <font>
        <b/>
        <i val="0"/>
        <color rgb="FF006100"/>
      </font>
      <fill>
        <patternFill>
          <bgColor rgb="FFC6EFCE"/>
        </patternFill>
      </fill>
    </dxf>
    <dxf>
      <font>
        <color auto="1"/>
      </font>
      <fill>
        <patternFill>
          <bgColor theme="0" tint="-0.499984740745262"/>
        </patternFill>
      </fill>
    </dxf>
    <dxf>
      <font>
        <b/>
        <i val="0"/>
        <color rgb="FFFFC000"/>
      </font>
      <fill>
        <patternFill>
          <bgColor rgb="FFFFFFCC"/>
        </patternFill>
      </fill>
    </dxf>
    <dxf>
      <font>
        <b/>
        <i val="0"/>
        <color rgb="FF0070C0"/>
      </font>
      <fill>
        <patternFill>
          <bgColor rgb="FFCCECFF"/>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FFCC"/>
      <color rgb="FFFFFF99"/>
      <color rgb="FFCCFFFF"/>
      <color rgb="FFFFFFC9"/>
      <color rgb="FFFFFFAF"/>
      <color rgb="FFE0F4F2"/>
      <color rgb="FFC6EFCE"/>
      <color rgb="FF006100"/>
      <color rgb="FFFFC7CE"/>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microsoft.com/office/2017/06/relationships/rdRichValueTypes" Target="richData/rdRichValueTyp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4.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5.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6.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7.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8.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9.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10.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11.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12.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13.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14.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15.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16.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1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19.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20.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21.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22.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23.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24.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25.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2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7.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28.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29.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30.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31.xml.rels><?xml version="1.0" encoding="UTF-8" standalone="yes"?>
<Relationships xmlns="http://schemas.openxmlformats.org/package/2006/relationships"><Relationship Id="rId2" Type="http://schemas.openxmlformats.org/officeDocument/2006/relationships/hyperlink" Target="#Resultados!A1"/><Relationship Id="rId1" Type="http://schemas.openxmlformats.org/officeDocument/2006/relationships/hyperlink" Target="#'Programa APQP'!A1"/></Relationships>
</file>

<file path=xl/drawings/_rels/drawing32.x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143335</xdr:colOff>
      <xdr:row>0</xdr:row>
      <xdr:rowOff>38100</xdr:rowOff>
    </xdr:from>
    <xdr:to>
      <xdr:col>0</xdr:col>
      <xdr:colOff>1859097</xdr:colOff>
      <xdr:row>1</xdr:row>
      <xdr:rowOff>276225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3335" y="38100"/>
          <a:ext cx="1715762" cy="5250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152400</xdr:colOff>
          <xdr:row>10</xdr:row>
          <xdr:rowOff>19050</xdr:rowOff>
        </xdr:from>
        <xdr:to>
          <xdr:col>1</xdr:col>
          <xdr:colOff>469900</xdr:colOff>
          <xdr:row>15</xdr:row>
          <xdr:rowOff>50800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416719</xdr:colOff>
      <xdr:row>8</xdr:row>
      <xdr:rowOff>166687</xdr:rowOff>
    </xdr:from>
    <xdr:to>
      <xdr:col>1</xdr:col>
      <xdr:colOff>154781</xdr:colOff>
      <xdr:row>9</xdr:row>
      <xdr:rowOff>238125</xdr:rowOff>
    </xdr:to>
    <xdr:sp macro="" textlink="">
      <xdr:nvSpPr>
        <xdr:cNvPr id="2" name="Down Arrow 1">
          <a:extLst>
            <a:ext uri="{FF2B5EF4-FFF2-40B4-BE49-F238E27FC236}">
              <a16:creationId xmlns:a16="http://schemas.microsoft.com/office/drawing/2014/main" id="{00000000-0008-0000-0100-000002000000}"/>
            </a:ext>
          </a:extLst>
        </xdr:cNvPr>
        <xdr:cNvSpPr/>
      </xdr:nvSpPr>
      <xdr:spPr>
        <a:xfrm>
          <a:off x="416719" y="547687"/>
          <a:ext cx="345281" cy="452438"/>
        </a:xfrm>
        <a:prstGeom prst="downArrow">
          <a:avLst/>
        </a:prstGeom>
        <a:solidFill>
          <a:schemeClr val="accent3">
            <a:lumMod val="75000"/>
          </a:schemeClr>
        </a:solidFill>
        <a:ln/>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s-MX" sz="1100"/>
        </a:p>
      </xdr:txBody>
    </xdr:sp>
    <xdr:clientData/>
  </xdr:twoCellAnchor>
  <xdr:twoCellAnchor editAs="oneCell">
    <xdr:from>
      <xdr:col>0</xdr:col>
      <xdr:colOff>61690</xdr:colOff>
      <xdr:row>0</xdr:row>
      <xdr:rowOff>110671</xdr:rowOff>
    </xdr:from>
    <xdr:to>
      <xdr:col>2</xdr:col>
      <xdr:colOff>675148</xdr:colOff>
      <xdr:row>3</xdr:row>
      <xdr:rowOff>102960</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690" y="110671"/>
          <a:ext cx="1832204" cy="5606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182095</xdr:colOff>
      <xdr:row>1</xdr:row>
      <xdr:rowOff>0</xdr:rowOff>
    </xdr:from>
    <xdr:to>
      <xdr:col>9</xdr:col>
      <xdr:colOff>442071</xdr:colOff>
      <xdr:row>1</xdr:row>
      <xdr:rowOff>409575</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0400-000003000000}"/>
            </a:ext>
          </a:extLst>
        </xdr:cNvPr>
        <xdr:cNvSpPr/>
      </xdr:nvSpPr>
      <xdr:spPr>
        <a:xfrm>
          <a:off x="10701617" y="574301"/>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182095</xdr:colOff>
      <xdr:row>3</xdr:row>
      <xdr:rowOff>141195</xdr:rowOff>
    </xdr:from>
    <xdr:to>
      <xdr:col>9</xdr:col>
      <xdr:colOff>442071</xdr:colOff>
      <xdr:row>4</xdr:row>
      <xdr:rowOff>227773</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0400-000004000000}"/>
            </a:ext>
          </a:extLst>
        </xdr:cNvPr>
        <xdr:cNvSpPr/>
      </xdr:nvSpPr>
      <xdr:spPr>
        <a:xfrm>
          <a:off x="10669948" y="1331820"/>
          <a:ext cx="870819" cy="500708"/>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180975</xdr:colOff>
      <xdr:row>1</xdr:row>
      <xdr:rowOff>0</xdr:rowOff>
    </xdr:from>
    <xdr:to>
      <xdr:col>9</xdr:col>
      <xdr:colOff>447675</xdr:colOff>
      <xdr:row>1</xdr:row>
      <xdr:rowOff>409575</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00000000-0008-0000-0500-000004000000}"/>
            </a:ext>
          </a:extLst>
        </xdr:cNvPr>
        <xdr:cNvSpPr/>
      </xdr:nvSpPr>
      <xdr:spPr>
        <a:xfrm>
          <a:off x="10039350" y="581025"/>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180975</xdr:colOff>
      <xdr:row>2</xdr:row>
      <xdr:rowOff>342900</xdr:rowOff>
    </xdr:from>
    <xdr:to>
      <xdr:col>9</xdr:col>
      <xdr:colOff>447675</xdr:colOff>
      <xdr:row>3</xdr:row>
      <xdr:rowOff>9525</xdr:rowOff>
    </xdr:to>
    <xdr:sp macro="" textlink="">
      <xdr:nvSpPr>
        <xdr:cNvPr id="5" name="Rectangle 4">
          <a:hlinkClick xmlns:r="http://schemas.openxmlformats.org/officeDocument/2006/relationships" r:id="rId2"/>
          <a:extLst>
            <a:ext uri="{FF2B5EF4-FFF2-40B4-BE49-F238E27FC236}">
              <a16:creationId xmlns:a16="http://schemas.microsoft.com/office/drawing/2014/main" id="{00000000-0008-0000-0500-000005000000}"/>
            </a:ext>
          </a:extLst>
        </xdr:cNvPr>
        <xdr:cNvSpPr/>
      </xdr:nvSpPr>
      <xdr:spPr>
        <a:xfrm>
          <a:off x="10039350" y="1352550"/>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133350</xdr:colOff>
      <xdr:row>2</xdr:row>
      <xdr:rowOff>19050</xdr:rowOff>
    </xdr:from>
    <xdr:to>
      <xdr:col>9</xdr:col>
      <xdr:colOff>400050</xdr:colOff>
      <xdr:row>3</xdr:row>
      <xdr:rowOff>76200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600-000005000000}"/>
            </a:ext>
          </a:extLst>
        </xdr:cNvPr>
        <xdr:cNvSpPr/>
      </xdr:nvSpPr>
      <xdr:spPr>
        <a:xfrm>
          <a:off x="9725025" y="1028700"/>
          <a:ext cx="876300" cy="47625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133350</xdr:colOff>
      <xdr:row>3</xdr:row>
      <xdr:rowOff>171450</xdr:rowOff>
    </xdr:from>
    <xdr:to>
      <xdr:col>9</xdr:col>
      <xdr:colOff>400050</xdr:colOff>
      <xdr:row>3</xdr:row>
      <xdr:rowOff>581025</xdr:rowOff>
    </xdr:to>
    <xdr:sp macro="" textlink="">
      <xdr:nvSpPr>
        <xdr:cNvPr id="7" name="Rectangle 6">
          <a:hlinkClick xmlns:r="http://schemas.openxmlformats.org/officeDocument/2006/relationships" r:id="rId2"/>
          <a:extLst>
            <a:ext uri="{FF2B5EF4-FFF2-40B4-BE49-F238E27FC236}">
              <a16:creationId xmlns:a16="http://schemas.microsoft.com/office/drawing/2014/main" id="{00000000-0008-0000-0600-000007000000}"/>
            </a:ext>
          </a:extLst>
        </xdr:cNvPr>
        <xdr:cNvSpPr/>
      </xdr:nvSpPr>
      <xdr:spPr>
        <a:xfrm>
          <a:off x="9725025" y="1600200"/>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171450</xdr:colOff>
      <xdr:row>2</xdr:row>
      <xdr:rowOff>0</xdr:rowOff>
    </xdr:from>
    <xdr:to>
      <xdr:col>9</xdr:col>
      <xdr:colOff>438150</xdr:colOff>
      <xdr:row>3</xdr:row>
      <xdr:rowOff>28575</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00000000-0008-0000-0700-000006000000}"/>
            </a:ext>
          </a:extLst>
        </xdr:cNvPr>
        <xdr:cNvSpPr/>
      </xdr:nvSpPr>
      <xdr:spPr>
        <a:xfrm>
          <a:off x="10658475" y="962025"/>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171450</xdr:colOff>
      <xdr:row>4</xdr:row>
      <xdr:rowOff>9525</xdr:rowOff>
    </xdr:from>
    <xdr:to>
      <xdr:col>9</xdr:col>
      <xdr:colOff>438150</xdr:colOff>
      <xdr:row>5</xdr:row>
      <xdr:rowOff>38100</xdr:rowOff>
    </xdr:to>
    <xdr:sp macro="" textlink="">
      <xdr:nvSpPr>
        <xdr:cNvPr id="7" name="Rectangle 6">
          <a:hlinkClick xmlns:r="http://schemas.openxmlformats.org/officeDocument/2006/relationships" r:id="rId2"/>
          <a:extLst>
            <a:ext uri="{FF2B5EF4-FFF2-40B4-BE49-F238E27FC236}">
              <a16:creationId xmlns:a16="http://schemas.microsoft.com/office/drawing/2014/main" id="{00000000-0008-0000-0700-000007000000}"/>
            </a:ext>
          </a:extLst>
        </xdr:cNvPr>
        <xdr:cNvSpPr/>
      </xdr:nvSpPr>
      <xdr:spPr>
        <a:xfrm>
          <a:off x="10658475" y="1733550"/>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504825</xdr:colOff>
      <xdr:row>2</xdr:row>
      <xdr:rowOff>104775</xdr:rowOff>
    </xdr:from>
    <xdr:to>
      <xdr:col>9</xdr:col>
      <xdr:colOff>66675</xdr:colOff>
      <xdr:row>2</xdr:row>
      <xdr:rowOff>514350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800-000005000000}"/>
            </a:ext>
          </a:extLst>
        </xdr:cNvPr>
        <xdr:cNvSpPr/>
      </xdr:nvSpPr>
      <xdr:spPr>
        <a:xfrm>
          <a:off x="10467975" y="1114425"/>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504825</xdr:colOff>
      <xdr:row>2</xdr:row>
      <xdr:rowOff>876300</xdr:rowOff>
    </xdr:from>
    <xdr:to>
      <xdr:col>9</xdr:col>
      <xdr:colOff>66675</xdr:colOff>
      <xdr:row>3</xdr:row>
      <xdr:rowOff>333375</xdr:rowOff>
    </xdr:to>
    <xdr:sp macro="" textlink="">
      <xdr:nvSpPr>
        <xdr:cNvPr id="6" name="Rectangle 5">
          <a:hlinkClick xmlns:r="http://schemas.openxmlformats.org/officeDocument/2006/relationships" r:id="rId2"/>
          <a:extLst>
            <a:ext uri="{FF2B5EF4-FFF2-40B4-BE49-F238E27FC236}">
              <a16:creationId xmlns:a16="http://schemas.microsoft.com/office/drawing/2014/main" id="{00000000-0008-0000-0800-000006000000}"/>
            </a:ext>
          </a:extLst>
        </xdr:cNvPr>
        <xdr:cNvSpPr/>
      </xdr:nvSpPr>
      <xdr:spPr>
        <a:xfrm>
          <a:off x="10467975" y="1885950"/>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161925</xdr:colOff>
      <xdr:row>1</xdr:row>
      <xdr:rowOff>0</xdr:rowOff>
    </xdr:from>
    <xdr:to>
      <xdr:col>9</xdr:col>
      <xdr:colOff>428625</xdr:colOff>
      <xdr:row>2</xdr:row>
      <xdr:rowOff>28575</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00000000-0008-0000-0900-000004000000}"/>
            </a:ext>
          </a:extLst>
        </xdr:cNvPr>
        <xdr:cNvSpPr/>
      </xdr:nvSpPr>
      <xdr:spPr>
        <a:xfrm>
          <a:off x="10267950" y="581025"/>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161925</xdr:colOff>
      <xdr:row>2</xdr:row>
      <xdr:rowOff>219075</xdr:rowOff>
    </xdr:from>
    <xdr:to>
      <xdr:col>9</xdr:col>
      <xdr:colOff>428625</xdr:colOff>
      <xdr:row>3</xdr:row>
      <xdr:rowOff>104775</xdr:rowOff>
    </xdr:to>
    <xdr:sp macro="" textlink="">
      <xdr:nvSpPr>
        <xdr:cNvPr id="6" name="Rectangle 5">
          <a:hlinkClick xmlns:r="http://schemas.openxmlformats.org/officeDocument/2006/relationships" r:id="rId2"/>
          <a:extLst>
            <a:ext uri="{FF2B5EF4-FFF2-40B4-BE49-F238E27FC236}">
              <a16:creationId xmlns:a16="http://schemas.microsoft.com/office/drawing/2014/main" id="{00000000-0008-0000-0900-000006000000}"/>
            </a:ext>
          </a:extLst>
        </xdr:cNvPr>
        <xdr:cNvSpPr/>
      </xdr:nvSpPr>
      <xdr:spPr>
        <a:xfrm>
          <a:off x="10267950" y="1181100"/>
          <a:ext cx="876300" cy="457200"/>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581025</xdr:colOff>
      <xdr:row>2</xdr:row>
      <xdr:rowOff>142875</xdr:rowOff>
    </xdr:from>
    <xdr:to>
      <xdr:col>9</xdr:col>
      <xdr:colOff>200025</xdr:colOff>
      <xdr:row>2</xdr:row>
      <xdr:rowOff>552450</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00000000-0008-0000-0A00-000004000000}"/>
            </a:ext>
          </a:extLst>
        </xdr:cNvPr>
        <xdr:cNvSpPr/>
      </xdr:nvSpPr>
      <xdr:spPr>
        <a:xfrm>
          <a:off x="9934575" y="1476375"/>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581025</xdr:colOff>
      <xdr:row>2</xdr:row>
      <xdr:rowOff>914400</xdr:rowOff>
    </xdr:from>
    <xdr:to>
      <xdr:col>9</xdr:col>
      <xdr:colOff>200025</xdr:colOff>
      <xdr:row>3</xdr:row>
      <xdr:rowOff>371475</xdr:rowOff>
    </xdr:to>
    <xdr:sp macro="" textlink="">
      <xdr:nvSpPr>
        <xdr:cNvPr id="5" name="Rectangle 4">
          <a:hlinkClick xmlns:r="http://schemas.openxmlformats.org/officeDocument/2006/relationships" r:id="rId2"/>
          <a:extLst>
            <a:ext uri="{FF2B5EF4-FFF2-40B4-BE49-F238E27FC236}">
              <a16:creationId xmlns:a16="http://schemas.microsoft.com/office/drawing/2014/main" id="{00000000-0008-0000-0A00-000005000000}"/>
            </a:ext>
          </a:extLst>
        </xdr:cNvPr>
        <xdr:cNvSpPr/>
      </xdr:nvSpPr>
      <xdr:spPr>
        <a:xfrm>
          <a:off x="9934575" y="2247900"/>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8</xdr:col>
      <xdr:colOff>314325</xdr:colOff>
      <xdr:row>2</xdr:row>
      <xdr:rowOff>47625</xdr:rowOff>
    </xdr:from>
    <xdr:to>
      <xdr:col>9</xdr:col>
      <xdr:colOff>428625</xdr:colOff>
      <xdr:row>3</xdr:row>
      <xdr:rowOff>47625</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0B00-000003000000}"/>
            </a:ext>
          </a:extLst>
        </xdr:cNvPr>
        <xdr:cNvSpPr/>
      </xdr:nvSpPr>
      <xdr:spPr>
        <a:xfrm>
          <a:off x="8724900" y="1762125"/>
          <a:ext cx="876300" cy="38100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314325</xdr:colOff>
      <xdr:row>3</xdr:row>
      <xdr:rowOff>152400</xdr:rowOff>
    </xdr:from>
    <xdr:to>
      <xdr:col>9</xdr:col>
      <xdr:colOff>428625</xdr:colOff>
      <xdr:row>3</xdr:row>
      <xdr:rowOff>561975</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0B00-000004000000}"/>
            </a:ext>
          </a:extLst>
        </xdr:cNvPr>
        <xdr:cNvSpPr/>
      </xdr:nvSpPr>
      <xdr:spPr>
        <a:xfrm>
          <a:off x="8724900" y="2247900"/>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8</xdr:col>
      <xdr:colOff>466725</xdr:colOff>
      <xdr:row>2</xdr:row>
      <xdr:rowOff>200025</xdr:rowOff>
    </xdr:from>
    <xdr:to>
      <xdr:col>9</xdr:col>
      <xdr:colOff>323850</xdr:colOff>
      <xdr:row>2</xdr:row>
      <xdr:rowOff>609600</xdr:rowOff>
    </xdr:to>
    <xdr:sp macro="" textlink="">
      <xdr:nvSpPr>
        <xdr:cNvPr id="7" name="Rectangle 6">
          <a:hlinkClick xmlns:r="http://schemas.openxmlformats.org/officeDocument/2006/relationships" r:id="rId1"/>
          <a:extLst>
            <a:ext uri="{FF2B5EF4-FFF2-40B4-BE49-F238E27FC236}">
              <a16:creationId xmlns:a16="http://schemas.microsoft.com/office/drawing/2014/main" id="{00000000-0008-0000-0C00-000007000000}"/>
            </a:ext>
          </a:extLst>
        </xdr:cNvPr>
        <xdr:cNvSpPr/>
      </xdr:nvSpPr>
      <xdr:spPr>
        <a:xfrm>
          <a:off x="9277350" y="1600200"/>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466725</xdr:colOff>
      <xdr:row>3</xdr:row>
      <xdr:rowOff>0</xdr:rowOff>
    </xdr:from>
    <xdr:to>
      <xdr:col>9</xdr:col>
      <xdr:colOff>323850</xdr:colOff>
      <xdr:row>3</xdr:row>
      <xdr:rowOff>409575</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00000000-0008-0000-0C00-000008000000}"/>
            </a:ext>
          </a:extLst>
        </xdr:cNvPr>
        <xdr:cNvSpPr/>
      </xdr:nvSpPr>
      <xdr:spPr>
        <a:xfrm>
          <a:off x="9277350" y="2162175"/>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14</xdr:col>
      <xdr:colOff>304800</xdr:colOff>
      <xdr:row>3</xdr:row>
      <xdr:rowOff>161925</xdr:rowOff>
    </xdr:from>
    <xdr:to>
      <xdr:col>15</xdr:col>
      <xdr:colOff>419100</xdr:colOff>
      <xdr:row>4</xdr:row>
      <xdr:rowOff>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0D00-000003000000}"/>
            </a:ext>
          </a:extLst>
        </xdr:cNvPr>
        <xdr:cNvSpPr/>
      </xdr:nvSpPr>
      <xdr:spPr>
        <a:xfrm>
          <a:off x="9420225" y="2066925"/>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14</xdr:col>
      <xdr:colOff>304800</xdr:colOff>
      <xdr:row>4</xdr:row>
      <xdr:rowOff>361950</xdr:rowOff>
    </xdr:from>
    <xdr:to>
      <xdr:col>15</xdr:col>
      <xdr:colOff>419100</xdr:colOff>
      <xdr:row>5</xdr:row>
      <xdr:rowOff>200025</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0D00-000004000000}"/>
            </a:ext>
          </a:extLst>
        </xdr:cNvPr>
        <xdr:cNvSpPr/>
      </xdr:nvSpPr>
      <xdr:spPr>
        <a:xfrm>
          <a:off x="9420225" y="2838450"/>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8</xdr:col>
      <xdr:colOff>323850</xdr:colOff>
      <xdr:row>2</xdr:row>
      <xdr:rowOff>123825</xdr:rowOff>
    </xdr:from>
    <xdr:to>
      <xdr:col>9</xdr:col>
      <xdr:colOff>438150</xdr:colOff>
      <xdr:row>3</xdr:row>
      <xdr:rowOff>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0E00-000003000000}"/>
            </a:ext>
          </a:extLst>
        </xdr:cNvPr>
        <xdr:cNvSpPr/>
      </xdr:nvSpPr>
      <xdr:spPr>
        <a:xfrm>
          <a:off x="10582275" y="1838325"/>
          <a:ext cx="876300" cy="4476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323850</xdr:colOff>
      <xdr:row>3</xdr:row>
      <xdr:rowOff>190500</xdr:rowOff>
    </xdr:from>
    <xdr:to>
      <xdr:col>9</xdr:col>
      <xdr:colOff>438150</xdr:colOff>
      <xdr:row>3</xdr:row>
      <xdr:rowOff>600075</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0E00-000004000000}"/>
            </a:ext>
          </a:extLst>
        </xdr:cNvPr>
        <xdr:cNvSpPr/>
      </xdr:nvSpPr>
      <xdr:spPr>
        <a:xfrm>
          <a:off x="10582275" y="2390775"/>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8</xdr:col>
      <xdr:colOff>333375</xdr:colOff>
      <xdr:row>2</xdr:row>
      <xdr:rowOff>171450</xdr:rowOff>
    </xdr:from>
    <xdr:to>
      <xdr:col>9</xdr:col>
      <xdr:colOff>447675</xdr:colOff>
      <xdr:row>3</xdr:row>
      <xdr:rowOff>9525</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0F00-000003000000}"/>
            </a:ext>
          </a:extLst>
        </xdr:cNvPr>
        <xdr:cNvSpPr/>
      </xdr:nvSpPr>
      <xdr:spPr>
        <a:xfrm>
          <a:off x="10668000" y="1885950"/>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333375</xdr:colOff>
      <xdr:row>3</xdr:row>
      <xdr:rowOff>371475</xdr:rowOff>
    </xdr:from>
    <xdr:to>
      <xdr:col>9</xdr:col>
      <xdr:colOff>447675</xdr:colOff>
      <xdr:row>4</xdr:row>
      <xdr:rowOff>209550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0F00-000004000000}"/>
            </a:ext>
          </a:extLst>
        </xdr:cNvPr>
        <xdr:cNvSpPr/>
      </xdr:nvSpPr>
      <xdr:spPr>
        <a:xfrm>
          <a:off x="10668000" y="2657475"/>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8</xdr:col>
      <xdr:colOff>314325</xdr:colOff>
      <xdr:row>2</xdr:row>
      <xdr:rowOff>171450</xdr:rowOff>
    </xdr:from>
    <xdr:to>
      <xdr:col>9</xdr:col>
      <xdr:colOff>428625</xdr:colOff>
      <xdr:row>2</xdr:row>
      <xdr:rowOff>581025</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1000-000003000000}"/>
            </a:ext>
          </a:extLst>
        </xdr:cNvPr>
        <xdr:cNvSpPr/>
      </xdr:nvSpPr>
      <xdr:spPr>
        <a:xfrm>
          <a:off x="10972800" y="1885950"/>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314325</xdr:colOff>
      <xdr:row>3</xdr:row>
      <xdr:rowOff>28575</xdr:rowOff>
    </xdr:from>
    <xdr:to>
      <xdr:col>9</xdr:col>
      <xdr:colOff>428625</xdr:colOff>
      <xdr:row>3</xdr:row>
      <xdr:rowOff>438150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1000-000004000000}"/>
            </a:ext>
          </a:extLst>
        </xdr:cNvPr>
        <xdr:cNvSpPr/>
      </xdr:nvSpPr>
      <xdr:spPr>
        <a:xfrm>
          <a:off x="10972800" y="2505075"/>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8</xdr:col>
      <xdr:colOff>295275</xdr:colOff>
      <xdr:row>2</xdr:row>
      <xdr:rowOff>171450</xdr:rowOff>
    </xdr:from>
    <xdr:to>
      <xdr:col>9</xdr:col>
      <xdr:colOff>409575</xdr:colOff>
      <xdr:row>3</xdr:row>
      <xdr:rowOff>133350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1100-000003000000}"/>
            </a:ext>
          </a:extLst>
        </xdr:cNvPr>
        <xdr:cNvSpPr/>
      </xdr:nvSpPr>
      <xdr:spPr>
        <a:xfrm>
          <a:off x="10553700" y="1885950"/>
          <a:ext cx="876300" cy="53340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304800</xdr:colOff>
      <xdr:row>3</xdr:row>
      <xdr:rowOff>228600</xdr:rowOff>
    </xdr:from>
    <xdr:to>
      <xdr:col>9</xdr:col>
      <xdr:colOff>419100</xdr:colOff>
      <xdr:row>4</xdr:row>
      <xdr:rowOff>304800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1100-000004000000}"/>
            </a:ext>
          </a:extLst>
        </xdr:cNvPr>
        <xdr:cNvSpPr/>
      </xdr:nvSpPr>
      <xdr:spPr>
        <a:xfrm>
          <a:off x="10563225" y="2514600"/>
          <a:ext cx="876300" cy="457200"/>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129056</xdr:colOff>
      <xdr:row>1</xdr:row>
      <xdr:rowOff>12787</xdr:rowOff>
    </xdr:from>
    <xdr:to>
      <xdr:col>2</xdr:col>
      <xdr:colOff>907790</xdr:colOff>
      <xdr:row>4</xdr:row>
      <xdr:rowOff>2999</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113" b="7172"/>
        <a:stretch/>
      </xdr:blipFill>
      <xdr:spPr>
        <a:xfrm>
          <a:off x="319556" y="203287"/>
          <a:ext cx="1836009" cy="56171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8</xdr:col>
      <xdr:colOff>295275</xdr:colOff>
      <xdr:row>2</xdr:row>
      <xdr:rowOff>104774</xdr:rowOff>
    </xdr:from>
    <xdr:to>
      <xdr:col>9</xdr:col>
      <xdr:colOff>409575</xdr:colOff>
      <xdr:row>3</xdr:row>
      <xdr:rowOff>38099</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1300-000002000000}"/>
            </a:ext>
          </a:extLst>
        </xdr:cNvPr>
        <xdr:cNvSpPr/>
      </xdr:nvSpPr>
      <xdr:spPr>
        <a:xfrm>
          <a:off x="10553700" y="1819274"/>
          <a:ext cx="876300" cy="50482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295275</xdr:colOff>
      <xdr:row>3</xdr:row>
      <xdr:rowOff>200024</xdr:rowOff>
    </xdr:from>
    <xdr:to>
      <xdr:col>9</xdr:col>
      <xdr:colOff>409575</xdr:colOff>
      <xdr:row>4</xdr:row>
      <xdr:rowOff>133349</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00000000-0008-0000-1300-000003000000}"/>
            </a:ext>
          </a:extLst>
        </xdr:cNvPr>
        <xdr:cNvSpPr/>
      </xdr:nvSpPr>
      <xdr:spPr>
        <a:xfrm>
          <a:off x="10553700" y="2486024"/>
          <a:ext cx="876300" cy="50482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8</xdr:col>
      <xdr:colOff>390525</xdr:colOff>
      <xdr:row>2</xdr:row>
      <xdr:rowOff>114300</xdr:rowOff>
    </xdr:from>
    <xdr:to>
      <xdr:col>9</xdr:col>
      <xdr:colOff>504825</xdr:colOff>
      <xdr:row>2</xdr:row>
      <xdr:rowOff>523875</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1400-000003000000}"/>
            </a:ext>
          </a:extLst>
        </xdr:cNvPr>
        <xdr:cNvSpPr/>
      </xdr:nvSpPr>
      <xdr:spPr>
        <a:xfrm>
          <a:off x="10315575" y="1828800"/>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390525</xdr:colOff>
      <xdr:row>3</xdr:row>
      <xdr:rowOff>314325</xdr:rowOff>
    </xdr:from>
    <xdr:to>
      <xdr:col>9</xdr:col>
      <xdr:colOff>504825</xdr:colOff>
      <xdr:row>4</xdr:row>
      <xdr:rowOff>342900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1400-000004000000}"/>
            </a:ext>
          </a:extLst>
        </xdr:cNvPr>
        <xdr:cNvSpPr/>
      </xdr:nvSpPr>
      <xdr:spPr>
        <a:xfrm>
          <a:off x="10315575" y="2600325"/>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8</xdr:col>
      <xdr:colOff>400050</xdr:colOff>
      <xdr:row>2</xdr:row>
      <xdr:rowOff>123825</xdr:rowOff>
    </xdr:from>
    <xdr:to>
      <xdr:col>9</xdr:col>
      <xdr:colOff>514350</xdr:colOff>
      <xdr:row>2</xdr:row>
      <xdr:rowOff>533400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1500-000003000000}"/>
            </a:ext>
          </a:extLst>
        </xdr:cNvPr>
        <xdr:cNvSpPr/>
      </xdr:nvSpPr>
      <xdr:spPr>
        <a:xfrm>
          <a:off x="11039475" y="1838325"/>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409575</xdr:colOff>
      <xdr:row>3</xdr:row>
      <xdr:rowOff>323850</xdr:rowOff>
    </xdr:from>
    <xdr:to>
      <xdr:col>9</xdr:col>
      <xdr:colOff>523875</xdr:colOff>
      <xdr:row>3</xdr:row>
      <xdr:rowOff>733425</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1500-000004000000}"/>
            </a:ext>
          </a:extLst>
        </xdr:cNvPr>
        <xdr:cNvSpPr/>
      </xdr:nvSpPr>
      <xdr:spPr>
        <a:xfrm>
          <a:off x="11049000" y="2609850"/>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8</xdr:col>
      <xdr:colOff>304800</xdr:colOff>
      <xdr:row>1</xdr:row>
      <xdr:rowOff>371475</xdr:rowOff>
    </xdr:from>
    <xdr:to>
      <xdr:col>9</xdr:col>
      <xdr:colOff>419100</xdr:colOff>
      <xdr:row>3</xdr:row>
      <xdr:rowOff>19050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1600-000003000000}"/>
            </a:ext>
          </a:extLst>
        </xdr:cNvPr>
        <xdr:cNvSpPr/>
      </xdr:nvSpPr>
      <xdr:spPr>
        <a:xfrm>
          <a:off x="11620500" y="952500"/>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314325</xdr:colOff>
      <xdr:row>3</xdr:row>
      <xdr:rowOff>104775</xdr:rowOff>
    </xdr:from>
    <xdr:to>
      <xdr:col>9</xdr:col>
      <xdr:colOff>428625</xdr:colOff>
      <xdr:row>4</xdr:row>
      <xdr:rowOff>133350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1600-000004000000}"/>
            </a:ext>
          </a:extLst>
        </xdr:cNvPr>
        <xdr:cNvSpPr/>
      </xdr:nvSpPr>
      <xdr:spPr>
        <a:xfrm>
          <a:off x="11630025" y="1447800"/>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8</xdr:col>
      <xdr:colOff>304800</xdr:colOff>
      <xdr:row>1</xdr:row>
      <xdr:rowOff>0</xdr:rowOff>
    </xdr:from>
    <xdr:to>
      <xdr:col>9</xdr:col>
      <xdr:colOff>419100</xdr:colOff>
      <xdr:row>2</xdr:row>
      <xdr:rowOff>28575</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1700-000003000000}"/>
            </a:ext>
          </a:extLst>
        </xdr:cNvPr>
        <xdr:cNvSpPr/>
      </xdr:nvSpPr>
      <xdr:spPr>
        <a:xfrm>
          <a:off x="11001375" y="581025"/>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304800</xdr:colOff>
      <xdr:row>2</xdr:row>
      <xdr:rowOff>133350</xdr:rowOff>
    </xdr:from>
    <xdr:to>
      <xdr:col>9</xdr:col>
      <xdr:colOff>419100</xdr:colOff>
      <xdr:row>3</xdr:row>
      <xdr:rowOff>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1700-000004000000}"/>
            </a:ext>
          </a:extLst>
        </xdr:cNvPr>
        <xdr:cNvSpPr/>
      </xdr:nvSpPr>
      <xdr:spPr>
        <a:xfrm>
          <a:off x="11001375" y="1095375"/>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8</xdr:col>
      <xdr:colOff>304800</xdr:colOff>
      <xdr:row>2</xdr:row>
      <xdr:rowOff>190500</xdr:rowOff>
    </xdr:from>
    <xdr:to>
      <xdr:col>9</xdr:col>
      <xdr:colOff>419100</xdr:colOff>
      <xdr:row>2</xdr:row>
      <xdr:rowOff>600075</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1800-000003000000}"/>
            </a:ext>
          </a:extLst>
        </xdr:cNvPr>
        <xdr:cNvSpPr/>
      </xdr:nvSpPr>
      <xdr:spPr>
        <a:xfrm>
          <a:off x="9353550" y="1152525"/>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304800</xdr:colOff>
      <xdr:row>3</xdr:row>
      <xdr:rowOff>9525</xdr:rowOff>
    </xdr:from>
    <xdr:to>
      <xdr:col>9</xdr:col>
      <xdr:colOff>419100</xdr:colOff>
      <xdr:row>3</xdr:row>
      <xdr:rowOff>419100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1800-000004000000}"/>
            </a:ext>
          </a:extLst>
        </xdr:cNvPr>
        <xdr:cNvSpPr/>
      </xdr:nvSpPr>
      <xdr:spPr>
        <a:xfrm>
          <a:off x="9353550" y="1924050"/>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8</xdr:col>
      <xdr:colOff>466725</xdr:colOff>
      <xdr:row>2</xdr:row>
      <xdr:rowOff>200025</xdr:rowOff>
    </xdr:from>
    <xdr:to>
      <xdr:col>9</xdr:col>
      <xdr:colOff>323850</xdr:colOff>
      <xdr:row>2</xdr:row>
      <xdr:rowOff>609600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1900-000002000000}"/>
            </a:ext>
          </a:extLst>
        </xdr:cNvPr>
        <xdr:cNvSpPr/>
      </xdr:nvSpPr>
      <xdr:spPr>
        <a:xfrm>
          <a:off x="9277350" y="1600200"/>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466725</xdr:colOff>
      <xdr:row>3</xdr:row>
      <xdr:rowOff>0</xdr:rowOff>
    </xdr:from>
    <xdr:to>
      <xdr:col>9</xdr:col>
      <xdr:colOff>323850</xdr:colOff>
      <xdr:row>3</xdr:row>
      <xdr:rowOff>409575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00000000-0008-0000-1900-000003000000}"/>
            </a:ext>
          </a:extLst>
        </xdr:cNvPr>
        <xdr:cNvSpPr/>
      </xdr:nvSpPr>
      <xdr:spPr>
        <a:xfrm>
          <a:off x="9277350" y="2162175"/>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8</xdr:col>
      <xdr:colOff>161925</xdr:colOff>
      <xdr:row>1</xdr:row>
      <xdr:rowOff>0</xdr:rowOff>
    </xdr:from>
    <xdr:to>
      <xdr:col>9</xdr:col>
      <xdr:colOff>428625</xdr:colOff>
      <xdr:row>2</xdr:row>
      <xdr:rowOff>28575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1A00-000002000000}"/>
            </a:ext>
          </a:extLst>
        </xdr:cNvPr>
        <xdr:cNvSpPr/>
      </xdr:nvSpPr>
      <xdr:spPr>
        <a:xfrm>
          <a:off x="11029950" y="581025"/>
          <a:ext cx="923925"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161925</xdr:colOff>
      <xdr:row>2</xdr:row>
      <xdr:rowOff>219075</xdr:rowOff>
    </xdr:from>
    <xdr:to>
      <xdr:col>9</xdr:col>
      <xdr:colOff>428625</xdr:colOff>
      <xdr:row>3</xdr:row>
      <xdr:rowOff>104775</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00000000-0008-0000-1A00-000003000000}"/>
            </a:ext>
          </a:extLst>
        </xdr:cNvPr>
        <xdr:cNvSpPr/>
      </xdr:nvSpPr>
      <xdr:spPr>
        <a:xfrm>
          <a:off x="11029950" y="1181100"/>
          <a:ext cx="923925" cy="457200"/>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129056</xdr:colOff>
      <xdr:row>1</xdr:row>
      <xdr:rowOff>12787</xdr:rowOff>
    </xdr:from>
    <xdr:to>
      <xdr:col>2</xdr:col>
      <xdr:colOff>907790</xdr:colOff>
      <xdr:row>4</xdr:row>
      <xdr:rowOff>2999</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113" b="7172"/>
        <a:stretch/>
      </xdr:blipFill>
      <xdr:spPr>
        <a:xfrm>
          <a:off x="319556" y="203287"/>
          <a:ext cx="1836009" cy="561712"/>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8</xdr:col>
      <xdr:colOff>381000</xdr:colOff>
      <xdr:row>2</xdr:row>
      <xdr:rowOff>190500</xdr:rowOff>
    </xdr:from>
    <xdr:to>
      <xdr:col>9</xdr:col>
      <xdr:colOff>438150</xdr:colOff>
      <xdr:row>3</xdr:row>
      <xdr:rowOff>38100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1C00-000003000000}"/>
            </a:ext>
          </a:extLst>
        </xdr:cNvPr>
        <xdr:cNvSpPr/>
      </xdr:nvSpPr>
      <xdr:spPr>
        <a:xfrm>
          <a:off x="10163175" y="1724025"/>
          <a:ext cx="876300" cy="419100"/>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381000</xdr:colOff>
      <xdr:row>3</xdr:row>
      <xdr:rowOff>200025</xdr:rowOff>
    </xdr:from>
    <xdr:to>
      <xdr:col>9</xdr:col>
      <xdr:colOff>438150</xdr:colOff>
      <xdr:row>3</xdr:row>
      <xdr:rowOff>609600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1C00-000004000000}"/>
            </a:ext>
          </a:extLst>
        </xdr:cNvPr>
        <xdr:cNvSpPr/>
      </xdr:nvSpPr>
      <xdr:spPr>
        <a:xfrm>
          <a:off x="10163175" y="2390775"/>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8</xdr:col>
      <xdr:colOff>161925</xdr:colOff>
      <xdr:row>2</xdr:row>
      <xdr:rowOff>142875</xdr:rowOff>
    </xdr:from>
    <xdr:to>
      <xdr:col>9</xdr:col>
      <xdr:colOff>428625</xdr:colOff>
      <xdr:row>2</xdr:row>
      <xdr:rowOff>552450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1D00-000003000000}"/>
            </a:ext>
          </a:extLst>
        </xdr:cNvPr>
        <xdr:cNvSpPr/>
      </xdr:nvSpPr>
      <xdr:spPr>
        <a:xfrm>
          <a:off x="10125075" y="1181100"/>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161925</xdr:colOff>
      <xdr:row>3</xdr:row>
      <xdr:rowOff>152400</xdr:rowOff>
    </xdr:from>
    <xdr:to>
      <xdr:col>9</xdr:col>
      <xdr:colOff>428625</xdr:colOff>
      <xdr:row>3</xdr:row>
      <xdr:rowOff>561975</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1D00-000004000000}"/>
            </a:ext>
          </a:extLst>
        </xdr:cNvPr>
        <xdr:cNvSpPr/>
      </xdr:nvSpPr>
      <xdr:spPr>
        <a:xfrm>
          <a:off x="10125075" y="1952625"/>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8</xdr:col>
      <xdr:colOff>161925</xdr:colOff>
      <xdr:row>2</xdr:row>
      <xdr:rowOff>142875</xdr:rowOff>
    </xdr:from>
    <xdr:to>
      <xdr:col>9</xdr:col>
      <xdr:colOff>428625</xdr:colOff>
      <xdr:row>2</xdr:row>
      <xdr:rowOff>552450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1E00-000003000000}"/>
            </a:ext>
          </a:extLst>
        </xdr:cNvPr>
        <xdr:cNvSpPr/>
      </xdr:nvSpPr>
      <xdr:spPr>
        <a:xfrm>
          <a:off x="10201275" y="1104900"/>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161925</xdr:colOff>
      <xdr:row>3</xdr:row>
      <xdr:rowOff>152400</xdr:rowOff>
    </xdr:from>
    <xdr:to>
      <xdr:col>9</xdr:col>
      <xdr:colOff>428625</xdr:colOff>
      <xdr:row>3</xdr:row>
      <xdr:rowOff>561975</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1E00-000004000000}"/>
            </a:ext>
          </a:extLst>
        </xdr:cNvPr>
        <xdr:cNvSpPr/>
      </xdr:nvSpPr>
      <xdr:spPr>
        <a:xfrm>
          <a:off x="10201275" y="2257425"/>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8</xdr:col>
      <xdr:colOff>152400</xdr:colOff>
      <xdr:row>1</xdr:row>
      <xdr:rowOff>133349</xdr:rowOff>
    </xdr:from>
    <xdr:to>
      <xdr:col>9</xdr:col>
      <xdr:colOff>419100</xdr:colOff>
      <xdr:row>2</xdr:row>
      <xdr:rowOff>219074</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1F00-000003000000}"/>
            </a:ext>
          </a:extLst>
        </xdr:cNvPr>
        <xdr:cNvSpPr/>
      </xdr:nvSpPr>
      <xdr:spPr>
        <a:xfrm>
          <a:off x="10144125" y="714374"/>
          <a:ext cx="876300" cy="46672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152400</xdr:colOff>
      <xdr:row>2</xdr:row>
      <xdr:rowOff>352424</xdr:rowOff>
    </xdr:from>
    <xdr:to>
      <xdr:col>9</xdr:col>
      <xdr:colOff>419100</xdr:colOff>
      <xdr:row>3</xdr:row>
      <xdr:rowOff>190499</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1F00-000004000000}"/>
            </a:ext>
          </a:extLst>
        </xdr:cNvPr>
        <xdr:cNvSpPr/>
      </xdr:nvSpPr>
      <xdr:spPr>
        <a:xfrm>
          <a:off x="10144125" y="1314449"/>
          <a:ext cx="876300" cy="4095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8</xdr:col>
      <xdr:colOff>257175</xdr:colOff>
      <xdr:row>2</xdr:row>
      <xdr:rowOff>114300</xdr:rowOff>
    </xdr:from>
    <xdr:to>
      <xdr:col>9</xdr:col>
      <xdr:colOff>361950</xdr:colOff>
      <xdr:row>2</xdr:row>
      <xdr:rowOff>523875</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2000-000003000000}"/>
            </a:ext>
          </a:extLst>
        </xdr:cNvPr>
        <xdr:cNvSpPr/>
      </xdr:nvSpPr>
      <xdr:spPr>
        <a:xfrm>
          <a:off x="10248900" y="1552575"/>
          <a:ext cx="876300" cy="409575"/>
        </a:xfrm>
        <a:prstGeom prst="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000"/>
            <a:t>Al programa / To program</a:t>
          </a:r>
        </a:p>
      </xdr:txBody>
    </xdr:sp>
    <xdr:clientData/>
  </xdr:twoCellAnchor>
  <xdr:twoCellAnchor>
    <xdr:from>
      <xdr:col>8</xdr:col>
      <xdr:colOff>257175</xdr:colOff>
      <xdr:row>4</xdr:row>
      <xdr:rowOff>28574</xdr:rowOff>
    </xdr:from>
    <xdr:to>
      <xdr:col>9</xdr:col>
      <xdr:colOff>361950</xdr:colOff>
      <xdr:row>4</xdr:row>
      <xdr:rowOff>476249</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00000000-0008-0000-2000-000004000000}"/>
            </a:ext>
          </a:extLst>
        </xdr:cNvPr>
        <xdr:cNvSpPr/>
      </xdr:nvSpPr>
      <xdr:spPr>
        <a:xfrm>
          <a:off x="10248900" y="2314574"/>
          <a:ext cx="876300" cy="4476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1000"/>
            <a:t>Resultados</a:t>
          </a:r>
          <a:r>
            <a:rPr lang="en-US" sz="1000" baseline="0"/>
            <a:t> / Results</a:t>
          </a:r>
          <a:endParaRPr lang="en-US" sz="1000"/>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129056</xdr:colOff>
      <xdr:row>1</xdr:row>
      <xdr:rowOff>12787</xdr:rowOff>
    </xdr:from>
    <xdr:to>
      <xdr:col>2</xdr:col>
      <xdr:colOff>907790</xdr:colOff>
      <xdr:row>4</xdr:row>
      <xdr:rowOff>2999</xdr:rowOff>
    </xdr:to>
    <xdr:pic>
      <xdr:nvPicPr>
        <xdr:cNvPr id="2" name="Picture 1">
          <a:extLst>
            <a:ext uri="{FF2B5EF4-FFF2-40B4-BE49-F238E27FC236}">
              <a16:creationId xmlns:a16="http://schemas.microsoft.com/office/drawing/2014/main" id="{00000000-0008-0000-21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113" b="7172"/>
        <a:stretch/>
      </xdr:blipFill>
      <xdr:spPr>
        <a:xfrm>
          <a:off x="319556" y="203287"/>
          <a:ext cx="1836009" cy="5617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ook3"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06%20Procesos\3%20Formatos\F7100%20APQP%20Checkli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OJECTS/Formats/CHECKLIST%20APQP.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x01s006\shared\Users\mx1heno1\Documents\INGENIERIA\F7100%20APQP%20Specific%20Checklist%202603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ook3"/>
    </sheetNames>
    <definedNames>
      <definedName name="ClearOldRecord"/>
      <definedName name="Entry"/>
      <definedName name="ExitProgram"/>
      <definedName name="HistogramWizard"/>
      <definedName name="kk"/>
      <definedName name="print"/>
      <definedName name="PrintReport"/>
      <definedName name="qwe"/>
      <definedName name="Retrieve"/>
      <definedName name="ReturnTOMain"/>
      <definedName name="Save"/>
    </defined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
      <sheetName val="Programa APQP"/>
      <sheetName val="CFT"/>
      <sheetName val="DATA"/>
      <sheetName val="Etapa2"/>
      <sheetName val="00"/>
      <sheetName val="01"/>
      <sheetName val="02"/>
      <sheetName val="03"/>
      <sheetName val="04"/>
      <sheetName val="05"/>
      <sheetName val="06"/>
      <sheetName val="07"/>
      <sheetName val="08"/>
      <sheetName val="09"/>
      <sheetName val="10"/>
      <sheetName val="11"/>
      <sheetName val="12"/>
      <sheetName val="Stage 3"/>
      <sheetName val="13"/>
      <sheetName val="14"/>
      <sheetName val="15"/>
      <sheetName val="16"/>
      <sheetName val="17"/>
      <sheetName val="18"/>
      <sheetName val="19"/>
      <sheetName val="20"/>
      <sheetName val="Stage 4"/>
      <sheetName val="21"/>
      <sheetName val="22"/>
      <sheetName val="23"/>
      <sheetName val="24"/>
      <sheetName val="25"/>
      <sheetName val="Stage 5"/>
      <sheetName val="Buy off preparation checklist"/>
      <sheetName val="Misc"/>
      <sheetName val="Resultados"/>
      <sheetName val="Stage 2"/>
    </sheetNames>
    <sheetDataSet>
      <sheetData sheetId="0">
        <row r="9">
          <cell r="B9"/>
        </row>
        <row r="10">
          <cell r="B10"/>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
      <sheetName val="Programa APQP"/>
      <sheetName val="Resultados"/>
      <sheetName val="CFT"/>
      <sheetName val="DATA"/>
      <sheetName val="Stage 2"/>
      <sheetName val="Stage 3"/>
      <sheetName val="Stage 4"/>
      <sheetName val="Stage 5"/>
      <sheetName val="Buy off preparation checklist"/>
      <sheetName val="Pilot run"/>
      <sheetName val="Etapa2"/>
      <sheetName val="Dibujos"/>
      <sheetName val="EHS"/>
      <sheetName val="00"/>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Misc"/>
    </sheetNames>
    <sheetDataSet>
      <sheetData sheetId="0">
        <row r="14">
          <cell r="A14" t="str">
            <v xml:space="preserve">Líder del proyecto / Project leader </v>
          </cell>
        </row>
        <row r="16">
          <cell r="A16" t="str">
            <v>Ingeniero de Calidad / QE</v>
          </cell>
        </row>
        <row r="17">
          <cell r="A17" t="str">
            <v>Process Engineer / PE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B1" t="str">
            <v>F7100 Rev. 06/Jul/2015</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Programa APQP"/>
      <sheetName val="Resultados"/>
      <sheetName val="01"/>
      <sheetName val="02"/>
      <sheetName val="03"/>
      <sheetName val="04"/>
      <sheetName val="05"/>
      <sheetName val="06"/>
      <sheetName val="07"/>
      <sheetName val="Dibujos"/>
      <sheetName val="08"/>
      <sheetName val="09"/>
      <sheetName val="10"/>
      <sheetName val="11"/>
      <sheetName val="12"/>
      <sheetName val="13"/>
      <sheetName val="14"/>
      <sheetName val="15"/>
      <sheetName val="16"/>
      <sheetName val="17"/>
      <sheetName val="18"/>
      <sheetName val="19"/>
      <sheetName val="20"/>
      <sheetName val="21"/>
      <sheetName val="22"/>
      <sheetName val="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Resultado de imagen para johnson electric 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mailto:mayra.rodriguez@johnsonelectric.com" TargetMode="External"/><Relationship Id="rId13" Type="http://schemas.openxmlformats.org/officeDocument/2006/relationships/hyperlink" Target="mailto:fermin.flores@johnsonelectric.com" TargetMode="External"/><Relationship Id="rId18" Type="http://schemas.openxmlformats.org/officeDocument/2006/relationships/hyperlink" Target="mailto:alessandro.florian-bossi@johnsonelectric.com" TargetMode="External"/><Relationship Id="rId3" Type="http://schemas.openxmlformats.org/officeDocument/2006/relationships/hyperlink" Target="mailto:philippe.jacquat@johnsonelectric.com" TargetMode="External"/><Relationship Id="rId21" Type="http://schemas.openxmlformats.org/officeDocument/2006/relationships/hyperlink" Target="mailto:akos.korompai@johnsonelectric.com" TargetMode="External"/><Relationship Id="rId7" Type="http://schemas.openxmlformats.org/officeDocument/2006/relationships/hyperlink" Target="mailto:alberto.penalver@johnsonelectric.com" TargetMode="External"/><Relationship Id="rId12" Type="http://schemas.openxmlformats.org/officeDocument/2006/relationships/hyperlink" Target="mailto:estela.ochoa@johnsonelectric.com" TargetMode="External"/><Relationship Id="rId17" Type="http://schemas.openxmlformats.org/officeDocument/2006/relationships/hyperlink" Target="mailto:gabriel.romero@johnsonelectric.com" TargetMode="External"/><Relationship Id="rId2" Type="http://schemas.openxmlformats.org/officeDocument/2006/relationships/hyperlink" Target="mailto:julieta.solis@johnsonelectric.com" TargetMode="External"/><Relationship Id="rId16" Type="http://schemas.openxmlformats.org/officeDocument/2006/relationships/hyperlink" Target="mailto:michelle.zarco@johnsonelectric,com" TargetMode="External"/><Relationship Id="rId20" Type="http://schemas.openxmlformats.org/officeDocument/2006/relationships/hyperlink" Target="mailto:charline.gomez@johnsonelectric.com" TargetMode="External"/><Relationship Id="rId1" Type="http://schemas.openxmlformats.org/officeDocument/2006/relationships/hyperlink" Target="mailto:jesus.urena@johnsonelectric.com" TargetMode="External"/><Relationship Id="rId6" Type="http://schemas.openxmlformats.org/officeDocument/2006/relationships/hyperlink" Target="mailto:eduardo.tejeida@johnsonelectric.com" TargetMode="External"/><Relationship Id="rId11" Type="http://schemas.openxmlformats.org/officeDocument/2006/relationships/hyperlink" Target="mailto:luis.delafuente@johnsonelectric.com" TargetMode="External"/><Relationship Id="rId5" Type="http://schemas.openxmlformats.org/officeDocument/2006/relationships/hyperlink" Target="mailto:mohammed.niaz@johnsonelectric.com" TargetMode="External"/><Relationship Id="rId15" Type="http://schemas.openxmlformats.org/officeDocument/2006/relationships/hyperlink" Target="mailto:claudia.castaneda@johnsonelectric.com" TargetMode="External"/><Relationship Id="rId10" Type="http://schemas.openxmlformats.org/officeDocument/2006/relationships/hyperlink" Target="mailto:fransisco.diaz@johnsonelectric.com" TargetMode="External"/><Relationship Id="rId19" Type="http://schemas.openxmlformats.org/officeDocument/2006/relationships/hyperlink" Target="mailto:kevin.swisher@jonsonelectric.com" TargetMode="External"/><Relationship Id="rId4" Type="http://schemas.openxmlformats.org/officeDocument/2006/relationships/hyperlink" Target="mailto:jit.deodhar@johnsonelectric.com" TargetMode="External"/><Relationship Id="rId9" Type="http://schemas.openxmlformats.org/officeDocument/2006/relationships/hyperlink" Target="mailto:miguelruiz@johnsonelectric.com" TargetMode="External"/><Relationship Id="rId14" Type="http://schemas.openxmlformats.org/officeDocument/2006/relationships/hyperlink" Target="mailto:mariel.campos@johnsonelectric.com" TargetMode="External"/><Relationship Id="rId22"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printerSettings" Target="../printerSettings/printerSettings7.bin"/><Relationship Id="rId7" Type="http://schemas.openxmlformats.org/officeDocument/2006/relationships/image" Target="../media/image3.emf"/><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oleObject" Target="../embeddings/Microsoft_Excel_97-2003_Worksheet.xls"/><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hyperlink" Target="mailto:Luis.cortes@johnsonelectric.com" TargetMode="External"/><Relationship Id="rId13" Type="http://schemas.openxmlformats.org/officeDocument/2006/relationships/hyperlink" Target="mailto:Aldo.raygoza@johnsonelectric.com" TargetMode="External"/><Relationship Id="rId18" Type="http://schemas.openxmlformats.org/officeDocument/2006/relationships/hyperlink" Target="mailto:Elias.varela@johsonelectric.com" TargetMode="External"/><Relationship Id="rId26" Type="http://schemas.openxmlformats.org/officeDocument/2006/relationships/hyperlink" Target="mailto:Mireya.ramirez@johnsoneeltric.com" TargetMode="External"/><Relationship Id="rId39" Type="http://schemas.openxmlformats.org/officeDocument/2006/relationships/hyperlink" Target="mailto:Diego.alonso@johnsonelectric.com" TargetMode="External"/><Relationship Id="rId3" Type="http://schemas.openxmlformats.org/officeDocument/2006/relationships/hyperlink" Target="mailto:Giovanna.leal@johnsonelectric.com" TargetMode="External"/><Relationship Id="rId21" Type="http://schemas.openxmlformats.org/officeDocument/2006/relationships/hyperlink" Target="mailto:Oscar.contreras@johnsonelectric.com" TargetMode="External"/><Relationship Id="rId34" Type="http://schemas.openxmlformats.org/officeDocument/2006/relationships/hyperlink" Target="mailto:Guadalupe.reyes@johsonelectric.com" TargetMode="External"/><Relationship Id="rId42" Type="http://schemas.openxmlformats.org/officeDocument/2006/relationships/printerSettings" Target="../printerSettings/printerSettings10.bin"/><Relationship Id="rId7" Type="http://schemas.openxmlformats.org/officeDocument/2006/relationships/hyperlink" Target="mailto:Luis.sanchez@johnsonelectric.com" TargetMode="External"/><Relationship Id="rId12" Type="http://schemas.openxmlformats.org/officeDocument/2006/relationships/hyperlink" Target="mailto:Socorro.castillo@johnsonelectric.com" TargetMode="External"/><Relationship Id="rId17" Type="http://schemas.openxmlformats.org/officeDocument/2006/relationships/hyperlink" Target="mailto:Carlos.ramos@johnsonelectric.com" TargetMode="External"/><Relationship Id="rId25" Type="http://schemas.openxmlformats.org/officeDocument/2006/relationships/hyperlink" Target="mailto:Noel.ramirez@johnsonelectric.com" TargetMode="External"/><Relationship Id="rId33" Type="http://schemas.openxmlformats.org/officeDocument/2006/relationships/hyperlink" Target="mailto:Roberto.ramos@johnsonelectric.com" TargetMode="External"/><Relationship Id="rId38" Type="http://schemas.openxmlformats.org/officeDocument/2006/relationships/hyperlink" Target="mailto:Guadalupe.reyes@johsonelectric.com" TargetMode="External"/><Relationship Id="rId2" Type="http://schemas.openxmlformats.org/officeDocument/2006/relationships/printerSettings" Target="../printerSettings/printerSettings9.bin"/><Relationship Id="rId16" Type="http://schemas.openxmlformats.org/officeDocument/2006/relationships/hyperlink" Target="mailto:Guadalupe.reyes@johsonelectric.com" TargetMode="External"/><Relationship Id="rId20" Type="http://schemas.openxmlformats.org/officeDocument/2006/relationships/hyperlink" Target="mailto:Oscar.contreras@johnsonelectric.com" TargetMode="External"/><Relationship Id="rId29" Type="http://schemas.openxmlformats.org/officeDocument/2006/relationships/hyperlink" Target="mailto:Goretti.perez@johnsonelectric.com" TargetMode="External"/><Relationship Id="rId41" Type="http://schemas.openxmlformats.org/officeDocument/2006/relationships/hyperlink" Target="mailto:Adrianna.miramontes@johnsonelectric.com" TargetMode="External"/><Relationship Id="rId1" Type="http://schemas.openxmlformats.org/officeDocument/2006/relationships/printerSettings" Target="../printerSettings/printerSettings8.bin"/><Relationship Id="rId6" Type="http://schemas.openxmlformats.org/officeDocument/2006/relationships/hyperlink" Target="mailto:Felipe.ornelas@johnsonelectric.com" TargetMode="External"/><Relationship Id="rId11" Type="http://schemas.openxmlformats.org/officeDocument/2006/relationships/hyperlink" Target="mailto:Elias.varela@johsonelectric.com" TargetMode="External"/><Relationship Id="rId24" Type="http://schemas.openxmlformats.org/officeDocument/2006/relationships/hyperlink" Target="mailto:Bernardo.marines@johnsonelectric.com" TargetMode="External"/><Relationship Id="rId32" Type="http://schemas.openxmlformats.org/officeDocument/2006/relationships/hyperlink" Target="mailto:Roberto.ramos@johnsonelectric.com" TargetMode="External"/><Relationship Id="rId37" Type="http://schemas.openxmlformats.org/officeDocument/2006/relationships/hyperlink" Target="mailto:Julieta.solis@johnsonelectric.com" TargetMode="External"/><Relationship Id="rId40" Type="http://schemas.openxmlformats.org/officeDocument/2006/relationships/hyperlink" Target="mailto:Adrianna.miramontes@johnsonelectric.com" TargetMode="External"/><Relationship Id="rId5" Type="http://schemas.openxmlformats.org/officeDocument/2006/relationships/hyperlink" Target="mailto:Roberto.ramos@johnsonelectric.com" TargetMode="External"/><Relationship Id="rId15" Type="http://schemas.openxmlformats.org/officeDocument/2006/relationships/hyperlink" Target="mailto:Mario.silva@johnsonelectric.com" TargetMode="External"/><Relationship Id="rId23" Type="http://schemas.openxmlformats.org/officeDocument/2006/relationships/hyperlink" Target="mailto:Alejandra.villa@johnsonelectric.com" TargetMode="External"/><Relationship Id="rId28" Type="http://schemas.openxmlformats.org/officeDocument/2006/relationships/hyperlink" Target="mailto:Adrianna.miramontes@johnsonelectric.com" TargetMode="External"/><Relationship Id="rId36" Type="http://schemas.openxmlformats.org/officeDocument/2006/relationships/hyperlink" Target="mailto:Fermin.flores@johnsonelectric.com" TargetMode="External"/><Relationship Id="rId10" Type="http://schemas.openxmlformats.org/officeDocument/2006/relationships/hyperlink" Target="mailto:Guadalupe.reyes@johsonelectric.com" TargetMode="External"/><Relationship Id="rId19" Type="http://schemas.openxmlformats.org/officeDocument/2006/relationships/hyperlink" Target="mailto:Bernardo.marines@johnsonelectric.com" TargetMode="External"/><Relationship Id="rId31" Type="http://schemas.openxmlformats.org/officeDocument/2006/relationships/hyperlink" Target="mailto:Nora.ramirez@johnsonelectric.com" TargetMode="External"/><Relationship Id="rId4" Type="http://schemas.openxmlformats.org/officeDocument/2006/relationships/hyperlink" Target="mailto:Andrea.herrera@johnsonelectric.com" TargetMode="External"/><Relationship Id="rId9" Type="http://schemas.openxmlformats.org/officeDocument/2006/relationships/hyperlink" Target="mailto:Elias.varela@johnsonelectric.com" TargetMode="External"/><Relationship Id="rId14" Type="http://schemas.openxmlformats.org/officeDocument/2006/relationships/hyperlink" Target="mailto:Mario.silva@johnsonelectric.com" TargetMode="External"/><Relationship Id="rId22" Type="http://schemas.openxmlformats.org/officeDocument/2006/relationships/hyperlink" Target="mailto:Eliazar.gonzalez@johnsonelectric.com" TargetMode="External"/><Relationship Id="rId27" Type="http://schemas.openxmlformats.org/officeDocument/2006/relationships/hyperlink" Target="mailto:Diego.alonso@johnsonelectric.com" TargetMode="External"/><Relationship Id="rId30" Type="http://schemas.openxmlformats.org/officeDocument/2006/relationships/hyperlink" Target="mailto:Carlos.jim&#233;nez@johnsonelectric.com" TargetMode="External"/><Relationship Id="rId35" Type="http://schemas.openxmlformats.org/officeDocument/2006/relationships/hyperlink" Target="mailto:Ricardo.rivas@johnsonelectric.com"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4"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4"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4"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 Id="rId4"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4"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 Id="rId4"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4"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 Id="rId4"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4"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4"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 Id="rId4"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8" Type="http://schemas.openxmlformats.org/officeDocument/2006/relationships/drawing" Target="../drawings/drawing17.xml"/><Relationship Id="rId3" Type="http://schemas.openxmlformats.org/officeDocument/2006/relationships/hyperlink" Target="mailto:jesus.urena@johnsonelectric.com" TargetMode="External"/><Relationship Id="rId7" Type="http://schemas.openxmlformats.org/officeDocument/2006/relationships/printerSettings" Target="../printerSettings/printerSettings53.bin"/><Relationship Id="rId2" Type="http://schemas.openxmlformats.org/officeDocument/2006/relationships/hyperlink" Target="mailto:gabriel.romero@johnsonelectric.com" TargetMode="External"/><Relationship Id="rId1" Type="http://schemas.openxmlformats.org/officeDocument/2006/relationships/printerSettings" Target="../printerSettings/printerSettings52.bin"/><Relationship Id="rId6" Type="http://schemas.openxmlformats.org/officeDocument/2006/relationships/hyperlink" Target="mailto:rodrigo.rabelo@johnsonelectric.com" TargetMode="External"/><Relationship Id="rId5" Type="http://schemas.openxmlformats.org/officeDocument/2006/relationships/hyperlink" Target="mailto:eduardo.tejeida@johnsonelectric.com" TargetMode="External"/><Relationship Id="rId4" Type="http://schemas.openxmlformats.org/officeDocument/2006/relationships/hyperlink" Target="mailto:eduardo.tejeida@johnsonelectric.com"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printerSettings" Target="../printerSettings/printerSettings57.bin"/><Relationship Id="rId1" Type="http://schemas.openxmlformats.org/officeDocument/2006/relationships/printerSettings" Target="../printerSettings/printerSettings56.bin"/><Relationship Id="rId4"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1.bin"/><Relationship Id="rId2" Type="http://schemas.openxmlformats.org/officeDocument/2006/relationships/printerSettings" Target="../printerSettings/printerSettings60.bin"/><Relationship Id="rId1" Type="http://schemas.openxmlformats.org/officeDocument/2006/relationships/printerSettings" Target="../printerSettings/printerSettings59.bin"/><Relationship Id="rId4"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4.bin"/><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 Id="rId4"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7.bin"/><Relationship Id="rId2" Type="http://schemas.openxmlformats.org/officeDocument/2006/relationships/printerSettings" Target="../printerSettings/printerSettings66.bin"/><Relationship Id="rId1" Type="http://schemas.openxmlformats.org/officeDocument/2006/relationships/printerSettings" Target="../printerSettings/printerSettings65.bin"/><Relationship Id="rId4"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70.bin"/><Relationship Id="rId2" Type="http://schemas.openxmlformats.org/officeDocument/2006/relationships/printerSettings" Target="../printerSettings/printerSettings69.bin"/><Relationship Id="rId1" Type="http://schemas.openxmlformats.org/officeDocument/2006/relationships/printerSettings" Target="../printerSettings/printerSettings68.bin"/><Relationship Id="rId4"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73.bin"/></Relationships>
</file>

<file path=xl/worksheets/_rels/sheet28.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jesus.urena@johnsonelectric.com" TargetMode="External"/><Relationship Id="rId7" Type="http://schemas.openxmlformats.org/officeDocument/2006/relationships/printerSettings" Target="../printerSettings/printerSettings75.bin"/><Relationship Id="rId2" Type="http://schemas.openxmlformats.org/officeDocument/2006/relationships/hyperlink" Target="mailto:gabriel.romero@johnsonelectric.com" TargetMode="External"/><Relationship Id="rId1" Type="http://schemas.openxmlformats.org/officeDocument/2006/relationships/printerSettings" Target="../printerSettings/printerSettings74.bin"/><Relationship Id="rId6" Type="http://schemas.openxmlformats.org/officeDocument/2006/relationships/hyperlink" Target="mailto:rodrigo.rabelo@johnsonelectric.com" TargetMode="External"/><Relationship Id="rId5" Type="http://schemas.openxmlformats.org/officeDocument/2006/relationships/hyperlink" Target="mailto:eduardo.tejeida@johnsonelectric.com" TargetMode="External"/><Relationship Id="rId4" Type="http://schemas.openxmlformats.org/officeDocument/2006/relationships/hyperlink" Target="mailto:eduardo.tejeida@johnsonelectric.com"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 Id="rId4"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 Id="rId4"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 Id="rId4"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87.bin"/><Relationship Id="rId2" Type="http://schemas.openxmlformats.org/officeDocument/2006/relationships/printerSettings" Target="../printerSettings/printerSettings86.bin"/><Relationship Id="rId1" Type="http://schemas.openxmlformats.org/officeDocument/2006/relationships/printerSettings" Target="../printerSettings/printerSettings85.bin"/><Relationship Id="rId4"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90.bin"/><Relationship Id="rId2" Type="http://schemas.openxmlformats.org/officeDocument/2006/relationships/printerSettings" Target="../printerSettings/printerSettings89.bin"/><Relationship Id="rId1" Type="http://schemas.openxmlformats.org/officeDocument/2006/relationships/printerSettings" Target="../printerSettings/printerSettings88.bin"/><Relationship Id="rId4"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8" Type="http://schemas.openxmlformats.org/officeDocument/2006/relationships/drawing" Target="../drawings/drawing32.xml"/><Relationship Id="rId3" Type="http://schemas.openxmlformats.org/officeDocument/2006/relationships/hyperlink" Target="mailto:jesus.urena@johnsonelectric.com" TargetMode="External"/><Relationship Id="rId7" Type="http://schemas.openxmlformats.org/officeDocument/2006/relationships/printerSettings" Target="../printerSettings/printerSettings92.bin"/><Relationship Id="rId2" Type="http://schemas.openxmlformats.org/officeDocument/2006/relationships/hyperlink" Target="mailto:gabriel.romero@johnsonelectric.com" TargetMode="External"/><Relationship Id="rId1" Type="http://schemas.openxmlformats.org/officeDocument/2006/relationships/printerSettings" Target="../printerSettings/printerSettings91.bin"/><Relationship Id="rId6" Type="http://schemas.openxmlformats.org/officeDocument/2006/relationships/hyperlink" Target="mailto:eduardo.tejeida@johnsonelectric.com" TargetMode="External"/><Relationship Id="rId5" Type="http://schemas.openxmlformats.org/officeDocument/2006/relationships/hyperlink" Target="mailto:rodrigo.rabelo@johnsonelectric.com" TargetMode="External"/><Relationship Id="rId4" Type="http://schemas.openxmlformats.org/officeDocument/2006/relationships/hyperlink" Target="mailto:eduardo.tejeida@johnsonelectric.com"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19"/>
  <sheetViews>
    <sheetView view="pageLayout" zoomScale="115" zoomScaleNormal="100" zoomScaleSheetLayoutView="80" zoomScalePageLayoutView="115" workbookViewId="0">
      <selection activeCell="D2" sqref="D2"/>
    </sheetView>
  </sheetViews>
  <sheetFormatPr defaultColWidth="9.1796875" defaultRowHeight="14.5"/>
  <cols>
    <col min="1" max="1" width="29.7265625" customWidth="1"/>
    <col min="2" max="4" width="23.7265625" customWidth="1"/>
  </cols>
  <sheetData>
    <row r="1" spans="1:4" ht="22.5" customHeight="1">
      <c r="A1" s="237"/>
      <c r="B1" s="226" t="s">
        <v>402</v>
      </c>
      <c r="C1" s="226"/>
      <c r="D1" s="124" t="s">
        <v>693</v>
      </c>
    </row>
    <row r="2" spans="1:4" ht="22.5" customHeight="1">
      <c r="A2" s="238"/>
      <c r="B2" s="226"/>
      <c r="C2" s="226"/>
      <c r="D2" s="123"/>
    </row>
    <row r="3" spans="1:4" ht="6" customHeight="1">
      <c r="A3" s="242"/>
      <c r="B3" s="242"/>
      <c r="C3" s="242"/>
      <c r="D3" s="242"/>
    </row>
    <row r="4" spans="1:4" ht="6" customHeight="1">
      <c r="A4" s="243"/>
      <c r="B4" s="244"/>
      <c r="C4" s="244"/>
      <c r="D4" s="245"/>
    </row>
    <row r="5" spans="1:4" ht="45.75" customHeight="1">
      <c r="A5" s="56" t="s">
        <v>25</v>
      </c>
      <c r="B5" s="3" t="s">
        <v>685</v>
      </c>
      <c r="C5" s="56" t="s">
        <v>30</v>
      </c>
      <c r="D5" s="51">
        <v>45609</v>
      </c>
    </row>
    <row r="6" spans="1:4">
      <c r="A6" s="56" t="s">
        <v>26</v>
      </c>
      <c r="B6" s="3" t="s">
        <v>714</v>
      </c>
      <c r="C6" s="56" t="s">
        <v>31</v>
      </c>
      <c r="D6" s="51">
        <v>47392</v>
      </c>
    </row>
    <row r="7" spans="1:4" ht="45.75" customHeight="1">
      <c r="A7" s="89" t="s">
        <v>27</v>
      </c>
      <c r="B7" s="9" t="s">
        <v>686</v>
      </c>
      <c r="C7" s="56" t="s">
        <v>24</v>
      </c>
      <c r="D7" s="51">
        <v>45524</v>
      </c>
    </row>
    <row r="8" spans="1:4" ht="45.75" customHeight="1">
      <c r="A8" s="56" t="s">
        <v>28</v>
      </c>
      <c r="B8" s="9" t="s">
        <v>687</v>
      </c>
      <c r="C8" s="56" t="s">
        <v>32</v>
      </c>
      <c r="D8" s="51">
        <v>45609</v>
      </c>
    </row>
    <row r="9" spans="1:4" ht="45.75" customHeight="1">
      <c r="A9" s="56" t="s">
        <v>358</v>
      </c>
      <c r="B9" s="9" t="s">
        <v>688</v>
      </c>
      <c r="C9" s="56" t="s">
        <v>623</v>
      </c>
      <c r="D9" s="51">
        <f>IF(D8=0, "",D8+90)</f>
        <v>45699</v>
      </c>
    </row>
    <row r="10" spans="1:4" ht="45.75" customHeight="1">
      <c r="A10" s="89" t="s">
        <v>29</v>
      </c>
      <c r="B10" s="9" t="s">
        <v>688</v>
      </c>
      <c r="C10" s="56" t="s">
        <v>377</v>
      </c>
      <c r="D10" s="209"/>
    </row>
    <row r="11" spans="1:4" ht="60" customHeight="1">
      <c r="A11" s="227" t="s">
        <v>36</v>
      </c>
      <c r="B11" s="228" t="s">
        <v>689</v>
      </c>
      <c r="C11" s="229"/>
      <c r="D11" s="230"/>
    </row>
    <row r="12" spans="1:4" ht="60" customHeight="1">
      <c r="A12" s="227"/>
      <c r="B12" s="231"/>
      <c r="C12" s="232"/>
      <c r="D12" s="233"/>
    </row>
    <row r="13" spans="1:4" ht="1.5" customHeight="1">
      <c r="A13" s="227"/>
      <c r="B13" s="234"/>
      <c r="C13" s="235"/>
      <c r="D13" s="236"/>
    </row>
    <row r="14" spans="1:4" ht="45.75" customHeight="1">
      <c r="A14" s="56" t="s">
        <v>393</v>
      </c>
      <c r="B14" s="239" t="s">
        <v>655</v>
      </c>
      <c r="C14" s="240"/>
      <c r="D14" s="241"/>
    </row>
    <row r="15" spans="1:4" ht="45.75" customHeight="1">
      <c r="A15" s="56" t="s">
        <v>394</v>
      </c>
      <c r="B15" s="239" t="s">
        <v>690</v>
      </c>
      <c r="C15" s="240"/>
      <c r="D15" s="241"/>
    </row>
    <row r="16" spans="1:4" ht="45.75" customHeight="1">
      <c r="A16" s="56" t="s">
        <v>363</v>
      </c>
      <c r="B16" s="239" t="s">
        <v>691</v>
      </c>
      <c r="C16" s="240"/>
      <c r="D16" s="241"/>
    </row>
    <row r="17" spans="1:4" ht="45.75" customHeight="1">
      <c r="A17" s="56" t="s">
        <v>364</v>
      </c>
      <c r="B17" s="239" t="s">
        <v>692</v>
      </c>
      <c r="C17" s="240"/>
      <c r="D17" s="241"/>
    </row>
    <row r="18" spans="1:4" ht="45.75" customHeight="1">
      <c r="A18" s="221" t="s">
        <v>365</v>
      </c>
      <c r="B18" s="222"/>
      <c r="C18" s="222"/>
      <c r="D18" s="223"/>
    </row>
    <row r="19" spans="1:4">
      <c r="A19" s="224"/>
      <c r="B19" s="224"/>
      <c r="C19" s="224"/>
      <c r="D19" s="225"/>
    </row>
  </sheetData>
  <customSheetViews>
    <customSheetView guid="{0D2B2804-9719-4CF5-836A-6C18EF806972}" scale="83" showPageBreaks="1" fitToPage="1" view="pageBreakPreview">
      <selection activeCell="B8" sqref="B8"/>
      <pageMargins left="0.7" right="0.7" top="0.75" bottom="0.75" header="0.3" footer="0.3"/>
      <pageSetup scale="89" orientation="portrait" r:id="rId1"/>
    </customSheetView>
    <customSheetView guid="{F51EB4BE-1505-43EE-8F62-937E5A5046CB}" showPageBreaks="1" fitToPage="1" view="pageBreakPreview">
      <selection activeCell="D3" sqref="D3"/>
      <pageMargins left="0.7" right="0.7" top="0.75" bottom="0.75" header="0.3" footer="0.3"/>
      <pageSetup scale="73" orientation="portrait" r:id="rId2"/>
    </customSheetView>
  </customSheetViews>
  <mergeCells count="12">
    <mergeCell ref="A18:D18"/>
    <mergeCell ref="A19:D19"/>
    <mergeCell ref="B1:C2"/>
    <mergeCell ref="A11:A13"/>
    <mergeCell ref="B11:D13"/>
    <mergeCell ref="A1:A2"/>
    <mergeCell ref="B16:D16"/>
    <mergeCell ref="B17:D17"/>
    <mergeCell ref="B15:D15"/>
    <mergeCell ref="A3:D3"/>
    <mergeCell ref="A4:D4"/>
    <mergeCell ref="B14:D14"/>
  </mergeCells>
  <pageMargins left="0.17" right="0.3" top="0.31" bottom="0.27" header="0.22" footer="0.16"/>
  <pageSetup fitToHeight="0" orientation="portrait" r:id="rId3"/>
  <headerFooter alignWithMargins="0">
    <oddHeader xml:space="preserve">&amp;L
&amp;C
</oddHeader>
    <oddFooter>&amp;RF7100 Rev. 20/10/2020</oddFooter>
  </headerFooter>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8734D-64B0-411C-ADA7-78A13C5EF3F8}">
  <sheetPr>
    <pageSetUpPr fitToPage="1"/>
  </sheetPr>
  <dimension ref="A1:H39"/>
  <sheetViews>
    <sheetView topLeftCell="B2" zoomScale="85" zoomScaleNormal="85" zoomScaleSheetLayoutView="73" zoomScalePageLayoutView="90" workbookViewId="0">
      <selection activeCell="F18" sqref="F18"/>
    </sheetView>
  </sheetViews>
  <sheetFormatPr defaultColWidth="0" defaultRowHeight="15" customHeight="1" zeroHeight="1"/>
  <cols>
    <col min="1" max="1" width="9.1796875" hidden="1" customWidth="1"/>
    <col min="2" max="2" width="32.453125" customWidth="1"/>
    <col min="3" max="3" width="28.26953125" customWidth="1"/>
    <col min="4" max="4" width="34.1796875" customWidth="1"/>
    <col min="5" max="5" width="20.81640625" customWidth="1"/>
    <col min="6" max="6" width="29.1796875" customWidth="1"/>
    <col min="7" max="7" width="36.26953125" customWidth="1"/>
    <col min="8" max="8" width="38.81640625" customWidth="1"/>
    <col min="9" max="9" width="9.1796875" hidden="1" customWidth="1"/>
    <col min="10" max="16384" width="9.1796875" hidden="1"/>
  </cols>
  <sheetData>
    <row r="1" spans="2:8" ht="15" hidden="1" customHeight="1" thickBot="1"/>
    <row r="2" spans="2:8" ht="15" customHeight="1">
      <c r="B2" s="247" t="e" vm="1">
        <v>#VALUE!</v>
      </c>
      <c r="C2" s="248" t="s">
        <v>401</v>
      </c>
      <c r="D2" s="248"/>
      <c r="E2" s="248"/>
      <c r="F2" s="248"/>
      <c r="G2" s="248"/>
      <c r="H2" s="248"/>
    </row>
    <row r="3" spans="2:8" ht="15" customHeight="1">
      <c r="B3" s="247"/>
      <c r="C3" s="249"/>
      <c r="D3" s="249"/>
      <c r="E3" s="249"/>
      <c r="F3" s="249"/>
      <c r="G3" s="249"/>
      <c r="H3" s="249"/>
    </row>
    <row r="4" spans="2:8" ht="15.75" customHeight="1">
      <c r="B4" s="247"/>
      <c r="C4" s="249"/>
      <c r="D4" s="249"/>
      <c r="E4" s="249"/>
      <c r="F4" s="249"/>
      <c r="G4" s="249"/>
      <c r="H4" s="249"/>
    </row>
    <row r="5" spans="2:8" s="88" customFormat="1" ht="5.25" customHeight="1">
      <c r="B5" s="77"/>
      <c r="C5" s="77"/>
      <c r="D5" s="77"/>
      <c r="E5" s="77"/>
      <c r="F5" s="77"/>
      <c r="G5" s="77"/>
      <c r="H5" s="77"/>
    </row>
    <row r="6" spans="2:8" ht="15.5">
      <c r="B6" s="125" t="s">
        <v>367</v>
      </c>
      <c r="C6" s="126" t="s">
        <v>686</v>
      </c>
      <c r="D6" s="127"/>
      <c r="E6" s="127"/>
      <c r="F6" s="125" t="s">
        <v>278</v>
      </c>
      <c r="G6" s="210">
        <v>46</v>
      </c>
      <c r="H6" s="128"/>
    </row>
    <row r="7" spans="2:8" ht="15.5">
      <c r="B7" s="125" t="s">
        <v>279</v>
      </c>
      <c r="C7" s="126" t="s">
        <v>746</v>
      </c>
      <c r="D7" s="126"/>
      <c r="E7" s="126"/>
      <c r="F7" s="125" t="s">
        <v>280</v>
      </c>
      <c r="G7" s="126" t="s">
        <v>654</v>
      </c>
      <c r="H7" s="126"/>
    </row>
    <row r="8" spans="2:8" ht="15.5">
      <c r="B8" s="125" t="s">
        <v>617</v>
      </c>
      <c r="C8" s="126">
        <v>1</v>
      </c>
      <c r="D8" s="126"/>
      <c r="E8" s="126"/>
      <c r="F8" s="125"/>
      <c r="G8" s="126" t="str">
        <f>IF('[2]Portada '!B10="", "",'[2]Portada '!$B$9)</f>
        <v/>
      </c>
      <c r="H8" s="126"/>
    </row>
    <row r="9" spans="2:8" s="1" customFormat="1" ht="5.25" customHeight="1">
      <c r="B9" s="129"/>
    </row>
    <row r="10" spans="2:8" ht="15.5">
      <c r="B10" s="250" t="s">
        <v>281</v>
      </c>
      <c r="C10" s="251"/>
      <c r="D10" s="251"/>
      <c r="E10" s="252"/>
      <c r="F10" s="251" t="s">
        <v>282</v>
      </c>
      <c r="G10" s="251"/>
      <c r="H10" s="251"/>
    </row>
    <row r="11" spans="2:8" ht="15.5">
      <c r="B11" s="130"/>
      <c r="C11" s="131"/>
      <c r="D11" s="131" t="s">
        <v>284</v>
      </c>
      <c r="E11" s="132"/>
      <c r="F11" s="133"/>
      <c r="G11" s="131" t="s">
        <v>283</v>
      </c>
      <c r="H11" s="131" t="s">
        <v>284</v>
      </c>
    </row>
    <row r="12" spans="2:8" ht="15.5">
      <c r="B12" s="134" t="s">
        <v>285</v>
      </c>
      <c r="C12" s="135" t="s">
        <v>655</v>
      </c>
      <c r="D12" s="82" t="s">
        <v>656</v>
      </c>
      <c r="E12" s="137"/>
      <c r="F12" s="125" t="s">
        <v>286</v>
      </c>
      <c r="G12" s="135" t="s">
        <v>657</v>
      </c>
      <c r="H12" s="82" t="s">
        <v>658</v>
      </c>
    </row>
    <row r="13" spans="2:8" ht="15.5">
      <c r="B13" s="134" t="s">
        <v>287</v>
      </c>
      <c r="C13" s="135" t="s">
        <v>694</v>
      </c>
      <c r="D13" s="82" t="s">
        <v>695</v>
      </c>
      <c r="E13" s="137"/>
      <c r="F13" s="125" t="s">
        <v>288</v>
      </c>
      <c r="G13" s="135" t="s">
        <v>764</v>
      </c>
      <c r="H13" s="82" t="s">
        <v>765</v>
      </c>
    </row>
    <row r="14" spans="2:8" ht="15.5">
      <c r="B14" s="134" t="s">
        <v>289</v>
      </c>
      <c r="C14" s="135" t="s">
        <v>747</v>
      </c>
      <c r="D14" s="82" t="s">
        <v>748</v>
      </c>
      <c r="E14" s="137"/>
      <c r="F14" s="125" t="s">
        <v>289</v>
      </c>
      <c r="G14" s="135" t="s">
        <v>766</v>
      </c>
      <c r="H14" s="211" t="s">
        <v>767</v>
      </c>
    </row>
    <row r="15" spans="2:8" ht="15.5">
      <c r="B15" s="134" t="s">
        <v>290</v>
      </c>
      <c r="C15" s="135" t="s">
        <v>630</v>
      </c>
      <c r="D15" s="82" t="s">
        <v>659</v>
      </c>
      <c r="E15" s="137"/>
      <c r="F15" s="125" t="s">
        <v>290</v>
      </c>
      <c r="G15" s="135" t="s">
        <v>660</v>
      </c>
      <c r="H15" s="211" t="s">
        <v>661</v>
      </c>
    </row>
    <row r="16" spans="2:8" ht="15.5">
      <c r="B16" s="134" t="s">
        <v>404</v>
      </c>
      <c r="C16" s="135" t="s">
        <v>626</v>
      </c>
      <c r="D16" s="82" t="s">
        <v>749</v>
      </c>
      <c r="E16" s="137"/>
      <c r="F16" s="125" t="s">
        <v>292</v>
      </c>
      <c r="G16" s="135" t="s">
        <v>662</v>
      </c>
      <c r="H16" s="82" t="s">
        <v>663</v>
      </c>
    </row>
    <row r="17" spans="2:8" ht="15.5">
      <c r="B17" s="134" t="s">
        <v>291</v>
      </c>
      <c r="C17" s="135" t="s">
        <v>750</v>
      </c>
      <c r="D17" s="136" t="s">
        <v>751</v>
      </c>
      <c r="E17" s="137"/>
      <c r="F17" s="125" t="s">
        <v>420</v>
      </c>
      <c r="G17" s="135" t="s">
        <v>666</v>
      </c>
      <c r="H17" s="82" t="s">
        <v>667</v>
      </c>
    </row>
    <row r="18" spans="2:8" ht="15.5">
      <c r="B18" s="134" t="s">
        <v>293</v>
      </c>
      <c r="C18" s="135" t="s">
        <v>664</v>
      </c>
      <c r="D18" s="82" t="s">
        <v>665</v>
      </c>
      <c r="E18" s="137"/>
      <c r="F18" s="125"/>
      <c r="G18" s="125"/>
      <c r="H18" s="125"/>
    </row>
    <row r="19" spans="2:8" ht="15.5">
      <c r="B19" s="134" t="s">
        <v>395</v>
      </c>
      <c r="C19" s="135" t="s">
        <v>668</v>
      </c>
      <c r="D19" s="82" t="s">
        <v>669</v>
      </c>
      <c r="E19" s="137"/>
      <c r="F19" s="125"/>
      <c r="G19" s="125"/>
      <c r="H19" s="125"/>
    </row>
    <row r="20" spans="2:8" ht="15.5">
      <c r="B20" s="134" t="s">
        <v>407</v>
      </c>
      <c r="C20" s="135" t="s">
        <v>670</v>
      </c>
      <c r="D20" s="82" t="s">
        <v>671</v>
      </c>
      <c r="E20" s="137"/>
      <c r="F20" s="125"/>
      <c r="G20" s="135"/>
      <c r="H20" s="136"/>
    </row>
    <row r="21" spans="2:8" ht="15.5">
      <c r="B21" s="138" t="s">
        <v>396</v>
      </c>
      <c r="C21" s="135" t="s">
        <v>672</v>
      </c>
      <c r="D21" s="136" t="s">
        <v>673</v>
      </c>
      <c r="E21" s="137"/>
      <c r="F21" s="125"/>
      <c r="G21" s="135"/>
      <c r="H21" s="136"/>
    </row>
    <row r="22" spans="2:8" ht="15.5">
      <c r="B22" s="138" t="s">
        <v>472</v>
      </c>
      <c r="C22" s="135" t="s">
        <v>674</v>
      </c>
      <c r="D22" s="82" t="s">
        <v>675</v>
      </c>
      <c r="E22" s="137"/>
      <c r="F22" s="125"/>
      <c r="G22" s="135"/>
      <c r="H22" s="136"/>
    </row>
    <row r="23" spans="2:8" ht="15.5">
      <c r="B23" s="138" t="s">
        <v>610</v>
      </c>
      <c r="C23" s="135" t="s">
        <v>752</v>
      </c>
      <c r="D23" s="82" t="s">
        <v>753</v>
      </c>
      <c r="E23" s="137"/>
      <c r="F23" s="125"/>
      <c r="G23" s="135"/>
      <c r="H23" s="136"/>
    </row>
    <row r="24" spans="2:8" ht="15.5">
      <c r="B24" s="138" t="s">
        <v>611</v>
      </c>
      <c r="C24" s="135" t="s">
        <v>754</v>
      </c>
      <c r="D24" s="82" t="s">
        <v>755</v>
      </c>
      <c r="E24" s="137"/>
      <c r="F24" s="125"/>
      <c r="G24" s="135"/>
      <c r="H24" s="136"/>
    </row>
    <row r="25" spans="2:8" ht="8.25" customHeight="1" thickBot="1">
      <c r="B25" s="139"/>
      <c r="C25" s="140"/>
      <c r="D25" s="140"/>
      <c r="E25" s="141"/>
      <c r="F25" s="140"/>
      <c r="G25" s="140"/>
      <c r="H25" s="140"/>
    </row>
    <row r="26" spans="2:8" ht="15.5">
      <c r="B26" s="253" t="s">
        <v>296</v>
      </c>
      <c r="C26" s="254"/>
      <c r="D26" s="254"/>
      <c r="E26" s="255"/>
      <c r="F26" s="251" t="s">
        <v>297</v>
      </c>
      <c r="G26" s="251"/>
      <c r="H26" s="251"/>
    </row>
    <row r="27" spans="2:8" ht="15.5">
      <c r="B27" s="142"/>
      <c r="C27" s="131" t="s">
        <v>283</v>
      </c>
      <c r="D27" s="131" t="s">
        <v>284</v>
      </c>
      <c r="E27" s="143"/>
      <c r="F27" s="135"/>
      <c r="G27" s="131" t="s">
        <v>283</v>
      </c>
      <c r="H27" s="131" t="s">
        <v>284</v>
      </c>
    </row>
    <row r="28" spans="2:8" ht="15.5">
      <c r="B28" s="134" t="s">
        <v>298</v>
      </c>
      <c r="C28" s="135" t="s">
        <v>628</v>
      </c>
      <c r="D28" s="82" t="s">
        <v>696</v>
      </c>
      <c r="E28" s="137"/>
      <c r="F28" s="125" t="s">
        <v>676</v>
      </c>
      <c r="G28" s="135" t="s">
        <v>677</v>
      </c>
      <c r="H28" s="82" t="s">
        <v>678</v>
      </c>
    </row>
    <row r="29" spans="2:8" ht="15.5">
      <c r="B29" s="134" t="s">
        <v>299</v>
      </c>
      <c r="C29" s="135" t="s">
        <v>756</v>
      </c>
      <c r="D29" s="82" t="s">
        <v>757</v>
      </c>
      <c r="E29" s="137"/>
      <c r="F29" s="125" t="s">
        <v>679</v>
      </c>
      <c r="G29" s="135" t="s">
        <v>680</v>
      </c>
      <c r="H29" s="136" t="s">
        <v>759</v>
      </c>
    </row>
    <row r="30" spans="2:8" ht="15.5">
      <c r="B30" s="134" t="s">
        <v>300</v>
      </c>
      <c r="C30" s="135" t="s">
        <v>327</v>
      </c>
      <c r="D30" s="136" t="s">
        <v>328</v>
      </c>
      <c r="E30" s="137"/>
      <c r="F30" s="125" t="s">
        <v>681</v>
      </c>
      <c r="G30" s="135" t="s">
        <v>760</v>
      </c>
      <c r="H30" s="136" t="s">
        <v>761</v>
      </c>
    </row>
    <row r="31" spans="2:8" ht="15.5">
      <c r="B31" s="134" t="s">
        <v>301</v>
      </c>
      <c r="C31" s="135" t="s">
        <v>662</v>
      </c>
      <c r="D31" s="82" t="s">
        <v>758</v>
      </c>
      <c r="E31" s="137"/>
      <c r="F31" s="125" t="s">
        <v>682</v>
      </c>
      <c r="G31" s="135" t="s">
        <v>762</v>
      </c>
      <c r="H31" s="136" t="s">
        <v>763</v>
      </c>
    </row>
    <row r="32" spans="2:8" ht="15.5">
      <c r="B32" s="134" t="s">
        <v>379</v>
      </c>
      <c r="C32" s="135" t="s">
        <v>380</v>
      </c>
      <c r="D32" s="136" t="s">
        <v>381</v>
      </c>
      <c r="E32" s="137"/>
      <c r="F32" s="125"/>
      <c r="G32" s="135"/>
      <c r="H32" s="82"/>
    </row>
    <row r="33" spans="1:8" ht="15.5">
      <c r="B33" s="134" t="s">
        <v>302</v>
      </c>
      <c r="C33" s="135" t="s">
        <v>683</v>
      </c>
      <c r="D33" s="82" t="s">
        <v>684</v>
      </c>
      <c r="E33" s="137"/>
      <c r="F33" s="125"/>
      <c r="G33" s="135"/>
      <c r="H33" s="136"/>
    </row>
    <row r="34" spans="1:8" ht="8.25" customHeight="1" thickBot="1">
      <c r="B34" s="85"/>
      <c r="C34" s="83"/>
      <c r="D34" s="83"/>
      <c r="E34" s="84"/>
      <c r="F34" s="86"/>
      <c r="G34" s="83"/>
      <c r="H34" s="87"/>
    </row>
    <row r="35" spans="1:8" ht="15.75" hidden="1" customHeight="1">
      <c r="B35" s="45"/>
      <c r="C35" s="45"/>
      <c r="D35" s="45"/>
      <c r="E35" s="45"/>
      <c r="F35" s="44"/>
      <c r="G35" s="45"/>
      <c r="H35" s="46"/>
    </row>
    <row r="36" spans="1:8" ht="14.5" hidden="1"/>
    <row r="37" spans="1:8" ht="14.5" hidden="1"/>
    <row r="38" spans="1:8" ht="14.5" hidden="1"/>
    <row r="39" spans="1:8" ht="14.5">
      <c r="A39" s="246" t="e">
        <f>+#REF!</f>
        <v>#REF!</v>
      </c>
      <c r="B39" s="246"/>
      <c r="C39" s="246"/>
      <c r="D39" s="246"/>
      <c r="E39" s="246"/>
      <c r="F39" s="246"/>
      <c r="G39" s="246"/>
      <c r="H39" s="246"/>
    </row>
  </sheetData>
  <mergeCells count="7">
    <mergeCell ref="A39:H39"/>
    <mergeCell ref="B2:B4"/>
    <mergeCell ref="C2:H4"/>
    <mergeCell ref="B10:E10"/>
    <mergeCell ref="F10:H10"/>
    <mergeCell ref="B26:E26"/>
    <mergeCell ref="F26:H26"/>
  </mergeCells>
  <hyperlinks>
    <hyperlink ref="D14" r:id="rId1" display="jesus.urena@johnsonelectric.com" xr:uid="{5E1035EB-FB84-4C77-AAFD-517A7FCD40CC}"/>
    <hyperlink ref="D15" r:id="rId2" xr:uid="{35DCEBB2-2964-4ECE-9117-AE967789AEF3}"/>
    <hyperlink ref="H28" r:id="rId3" xr:uid="{241DB806-4330-42CA-8C79-0A7F460A5869}"/>
    <hyperlink ref="H12" r:id="rId4" xr:uid="{6268F147-CDD8-4D0B-B71C-D2DFF8ACCF7B}"/>
    <hyperlink ref="D12" r:id="rId5" xr:uid="{99EBD52D-CAED-4E69-B162-9107496CFD16}"/>
    <hyperlink ref="D13" r:id="rId6" xr:uid="{108720CF-5D97-455D-A3ED-A366893D9A12}"/>
    <hyperlink ref="D19" r:id="rId7" xr:uid="{4B0306AF-E99B-4AA4-A2B1-165894CE0FF9}"/>
    <hyperlink ref="D24" r:id="rId8" display="mayra.rodriguez@johnsonelectric.com" xr:uid="{56C2105D-D185-4F2F-9C2E-9F62DD665A6E}"/>
    <hyperlink ref="D18" r:id="rId9" xr:uid="{53DD43DD-29FB-4DC5-8D3A-1C99544EF9B0}"/>
    <hyperlink ref="D20" r:id="rId10" xr:uid="{7DB2C8E9-9EAE-4A6D-A1BA-4615013E941C}"/>
    <hyperlink ref="D22" r:id="rId11" xr:uid="{4A7EF505-85ED-4EEC-8C05-0FAAC6757962}"/>
    <hyperlink ref="D23" r:id="rId12" display="estela.ochoa@johnsonelectric.com" xr:uid="{9DF42A97-3398-47AC-A56C-6545FCF42809}"/>
    <hyperlink ref="D28" r:id="rId13" xr:uid="{F039C211-5FE0-4037-BDBF-C8A003B22BA0}"/>
    <hyperlink ref="D31" r:id="rId14" display="mariel.campos@johnsonelectric.com" xr:uid="{6CDECF3E-6704-47B4-8AD0-144B12CF80D7}"/>
    <hyperlink ref="D33" r:id="rId15" xr:uid="{D6F96806-3D5D-4E14-8E71-ED3EF7423A6F}"/>
    <hyperlink ref="D16" r:id="rId16" display="michelle.zarco@johnsonelectric,com" xr:uid="{65F5977D-F7E7-4E44-A87D-F82B4A24707C}"/>
    <hyperlink ref="D29" r:id="rId17" display="gabriel.romero@johnsonelectric.com" xr:uid="{0E52979C-A2EE-49FC-86D8-8AF96DABD903}"/>
    <hyperlink ref="H13" r:id="rId18" display="alessandro.florian-bossi@johnsonelectric.com" xr:uid="{27566585-A2B1-4594-A9DF-8A05BD4559A8}"/>
    <hyperlink ref="H16" r:id="rId19" xr:uid="{CC676F25-9D5E-4044-8801-E8CD2DBE851D}"/>
    <hyperlink ref="H14" r:id="rId20" display="charline.gomez@johnsonelectric.com" xr:uid="{1F0DC2E6-7B13-4F20-A1B7-8AABDBD1D725}"/>
    <hyperlink ref="H15" r:id="rId21" xr:uid="{9FC05C8E-C39A-4FDD-A861-7910A5FE9788}"/>
  </hyperlinks>
  <pageMargins left="0.17" right="0.3" top="0.31" bottom="0.27" header="0.22" footer="0.16"/>
  <pageSetup scale="61" fitToHeight="0" orientation="landscape" horizontalDpi="300" verticalDpi="300" r:id="rId22"/>
  <headerFooter alignWithMargins="0">
    <oddHeader xml:space="preserve">&amp;L
&amp;C
</oddHeader>
    <oddFooter>&amp;RF7100 Rev. 26/11/2019</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91"/>
  <sheetViews>
    <sheetView showGridLines="0" showRuler="0" view="pageBreakPreview" zoomScale="70" zoomScaleNormal="47" zoomScaleSheetLayoutView="70" zoomScalePageLayoutView="73" workbookViewId="0">
      <selection activeCell="K14" sqref="K14:K15"/>
    </sheetView>
  </sheetViews>
  <sheetFormatPr defaultColWidth="9.1796875" defaultRowHeight="14.5"/>
  <cols>
    <col min="1" max="2" width="9.1796875" style="16"/>
    <col min="3" max="3" width="10.7265625" style="53" customWidth="1"/>
    <col min="4" max="4" width="23.7265625" style="48" customWidth="1"/>
    <col min="5" max="5" width="32.81640625" style="53" customWidth="1"/>
    <col min="6" max="6" width="23.7265625" style="53" customWidth="1"/>
    <col min="7" max="7" width="26.54296875" style="16" customWidth="1"/>
    <col min="8" max="8" width="16.453125" style="16" customWidth="1"/>
    <col min="9" max="9" width="13.54296875" style="16" customWidth="1"/>
    <col min="10" max="10" width="9.1796875" style="16" hidden="1" customWidth="1"/>
    <col min="11" max="11" width="55.90625" style="16" customWidth="1"/>
    <col min="12" max="12" width="9.1796875" style="16" customWidth="1"/>
    <col min="13" max="16384" width="9.1796875" style="16"/>
  </cols>
  <sheetData>
    <row r="1" spans="1:11" ht="15" customHeight="1">
      <c r="A1" s="237"/>
      <c r="D1" s="226" t="s">
        <v>402</v>
      </c>
      <c r="E1" s="226"/>
      <c r="F1" s="226"/>
      <c r="G1" s="226"/>
      <c r="H1" s="226"/>
      <c r="I1" s="226"/>
      <c r="J1" s="226"/>
      <c r="K1" s="226"/>
    </row>
    <row r="2" spans="1:11" ht="15" customHeight="1">
      <c r="A2" s="238"/>
      <c r="D2" s="226"/>
      <c r="E2" s="226"/>
      <c r="F2" s="226"/>
      <c r="G2" s="226"/>
      <c r="H2" s="226"/>
      <c r="I2" s="226"/>
      <c r="J2" s="226"/>
      <c r="K2" s="226"/>
    </row>
    <row r="3" spans="1:11" ht="15" customHeight="1">
      <c r="D3" s="226"/>
      <c r="E3" s="226"/>
      <c r="F3" s="226"/>
      <c r="G3" s="226"/>
      <c r="H3" s="226"/>
      <c r="I3" s="226"/>
      <c r="J3" s="226"/>
      <c r="K3" s="226"/>
    </row>
    <row r="4" spans="1:11" ht="15" customHeight="1">
      <c r="D4" s="226"/>
      <c r="E4" s="226"/>
      <c r="F4" s="226"/>
      <c r="G4" s="226"/>
      <c r="H4" s="226"/>
      <c r="I4" s="226"/>
      <c r="J4" s="226"/>
      <c r="K4" s="226"/>
    </row>
    <row r="5" spans="1:11" ht="6.75" customHeight="1">
      <c r="A5" s="242"/>
      <c r="B5" s="242"/>
      <c r="C5" s="242"/>
      <c r="D5" s="242"/>
      <c r="E5" s="242"/>
      <c r="F5" s="242"/>
      <c r="G5" s="242"/>
      <c r="H5" s="242"/>
      <c r="I5" s="242"/>
      <c r="J5" s="242"/>
      <c r="K5" s="242"/>
    </row>
    <row r="6" spans="1:11" ht="6" customHeight="1">
      <c r="C6" s="16"/>
      <c r="D6" s="16"/>
      <c r="E6" s="16"/>
      <c r="F6" s="16"/>
    </row>
    <row r="7" spans="1:11" s="48" customFormat="1" ht="33.75" customHeight="1">
      <c r="A7" s="257" t="s">
        <v>304</v>
      </c>
      <c r="B7" s="258"/>
      <c r="C7" s="290" t="s">
        <v>403</v>
      </c>
      <c r="D7" s="291"/>
      <c r="E7" s="292"/>
      <c r="F7" s="311">
        <f>IF((COUNTIF(J30,"")+COUNTIF(J59,"")+COUNTIF(J78,"")+COUNTIF(J91,"")=39),"",SUM(J30,J59,J78,J91))</f>
        <v>75</v>
      </c>
      <c r="G7" s="311"/>
      <c r="H7" s="311"/>
      <c r="I7" s="311"/>
      <c r="J7" s="311"/>
      <c r="K7" s="311"/>
    </row>
    <row r="8" spans="1:11" s="48" customFormat="1" ht="33.75" customHeight="1">
      <c r="A8" s="259"/>
      <c r="B8" s="260"/>
      <c r="C8" s="290" t="s">
        <v>306</v>
      </c>
      <c r="D8" s="291"/>
      <c r="E8" s="291"/>
      <c r="F8" s="310">
        <f>IF('Portada '!D8="","",'Portada '!D8)</f>
        <v>45609</v>
      </c>
      <c r="G8" s="310"/>
      <c r="H8" s="310"/>
      <c r="I8" s="310"/>
      <c r="J8" s="310"/>
      <c r="K8" s="310"/>
    </row>
    <row r="9" spans="1:11" ht="33.75" customHeight="1">
      <c r="A9" s="259"/>
      <c r="B9" s="260"/>
      <c r="C9" s="144" t="s">
        <v>8</v>
      </c>
      <c r="D9" s="144" t="s">
        <v>33</v>
      </c>
      <c r="E9" s="144" t="s">
        <v>34</v>
      </c>
      <c r="F9" s="145" t="s">
        <v>9</v>
      </c>
      <c r="G9" s="146" t="s">
        <v>41</v>
      </c>
      <c r="H9" s="146" t="s">
        <v>303</v>
      </c>
      <c r="I9" s="146" t="s">
        <v>51</v>
      </c>
      <c r="J9" s="146"/>
      <c r="K9" s="146" t="s">
        <v>52</v>
      </c>
    </row>
    <row r="10" spans="1:11" ht="26.25" customHeight="1">
      <c r="A10" s="49"/>
      <c r="B10" s="50"/>
      <c r="C10" s="263" t="s">
        <v>466</v>
      </c>
      <c r="D10" s="282" t="s">
        <v>305</v>
      </c>
      <c r="E10" s="265" t="s">
        <v>37</v>
      </c>
      <c r="F10" s="54" t="s">
        <v>9</v>
      </c>
      <c r="G10" s="51">
        <f>+$G$28</f>
        <v>45479</v>
      </c>
      <c r="H10" s="256" t="str">
        <f ca="1">IF(G10=0, " ", IF(AND(G10&lt;TODAY(),G11=0), "NEEDS ACTION", IF(G11=0,"Ongoing", IF(G11&lt;=G10,"Closed on time", IF(G11&gt;G10,"Closed late")))))</f>
        <v>Closed on time</v>
      </c>
      <c r="I10" s="302" t="str">
        <f>IF(AND(Stage2!C4="",Stage2!D4="",Stage2!E4=""),"",IF(OR(Stage2!C4="X",Stage2!E4="X"),"OK","NG"))</f>
        <v>OK</v>
      </c>
      <c r="J10" s="302">
        <f>IF($I10="","",IF($I10="NG",0,((100/4)/10)))</f>
        <v>2.5</v>
      </c>
      <c r="K10" s="307"/>
    </row>
    <row r="11" spans="1:11" ht="26.25" customHeight="1">
      <c r="A11" s="49"/>
      <c r="B11" s="50"/>
      <c r="C11" s="264"/>
      <c r="D11" s="283"/>
      <c r="E11" s="266"/>
      <c r="F11" s="54" t="s">
        <v>10</v>
      </c>
      <c r="G11" s="51">
        <v>45300</v>
      </c>
      <c r="H11" s="256"/>
      <c r="I11" s="302"/>
      <c r="J11" s="302"/>
      <c r="K11" s="307"/>
    </row>
    <row r="12" spans="1:11" ht="26.25" customHeight="1">
      <c r="A12" s="49"/>
      <c r="B12" s="50"/>
      <c r="C12" s="267" t="s">
        <v>382</v>
      </c>
      <c r="D12" s="283"/>
      <c r="E12" s="265" t="s">
        <v>35</v>
      </c>
      <c r="F12" s="54" t="s">
        <v>9</v>
      </c>
      <c r="G12" s="51">
        <f>+$G$28</f>
        <v>45479</v>
      </c>
      <c r="H12" s="256" t="str">
        <f ca="1">IF(G12=0, " ", IF(AND(G12&lt;TODAY(),G13=0), "NEEDS ACTION", IF(G13=0,"Ongoing", IF(G13&lt;=G12,"Closed on time", IF(G13&gt;G12,"Closed late")))))</f>
        <v>Closed on time</v>
      </c>
      <c r="I12" s="308" t="str">
        <f>IF(AND(Stage2!C5="",Stage2!D5="",Stage2!E5=""),"",IF(OR(Stage2!C5="X",Stage2!E5=""),"OK","NG"))</f>
        <v>OK</v>
      </c>
      <c r="J12" s="302">
        <f>IF(I12="","",IF(I12="NG",0,((100/4)/10)))</f>
        <v>2.5</v>
      </c>
      <c r="K12" s="307"/>
    </row>
    <row r="13" spans="1:11" ht="26.25" customHeight="1">
      <c r="A13" s="49"/>
      <c r="B13" s="50"/>
      <c r="C13" s="268"/>
      <c r="D13" s="283"/>
      <c r="E13" s="266"/>
      <c r="F13" s="54" t="s">
        <v>10</v>
      </c>
      <c r="G13" s="51">
        <v>45300</v>
      </c>
      <c r="H13" s="256"/>
      <c r="I13" s="309"/>
      <c r="J13" s="302"/>
      <c r="K13" s="307"/>
    </row>
    <row r="14" spans="1:11" ht="26.25" customHeight="1">
      <c r="A14" s="49"/>
      <c r="B14" s="50"/>
      <c r="C14" s="267" t="s">
        <v>382</v>
      </c>
      <c r="D14" s="283"/>
      <c r="E14" s="265" t="s">
        <v>448</v>
      </c>
      <c r="F14" s="54" t="s">
        <v>9</v>
      </c>
      <c r="G14" s="51">
        <f>+$G$28</f>
        <v>45479</v>
      </c>
      <c r="H14" s="256" t="str">
        <f ca="1">IF(G14=0, " ", IF(AND(G14&lt;TODAY(),G15=0), "NEEDS ACTION", IF(G15=0,"Ongoing", IF(G15&lt;=G14,"Closed on time", IF(G15&gt;G14,"Closed late")))))</f>
        <v>Closed on time</v>
      </c>
      <c r="I14" s="308" t="str">
        <f>IF(AND(Stage2!C6="",Stage2!D6="",Stage2!E6=""),"",IF(OR(Stage2!C6="X",Stage2!E6=""),"OK","NG"))</f>
        <v>OK</v>
      </c>
      <c r="J14" s="302">
        <f>IF(I14="","",IF(I14="NG",0,((100/4)/10)))</f>
        <v>2.5</v>
      </c>
      <c r="K14" s="305" t="s">
        <v>719</v>
      </c>
    </row>
    <row r="15" spans="1:11" ht="26.25" customHeight="1">
      <c r="A15" s="49"/>
      <c r="B15" s="50"/>
      <c r="C15" s="268"/>
      <c r="D15" s="283"/>
      <c r="E15" s="266"/>
      <c r="F15" s="54" t="s">
        <v>10</v>
      </c>
      <c r="G15" s="51">
        <v>45301</v>
      </c>
      <c r="H15" s="256"/>
      <c r="I15" s="309"/>
      <c r="J15" s="302"/>
      <c r="K15" s="305"/>
    </row>
    <row r="16" spans="1:11" ht="38" customHeight="1">
      <c r="A16" s="49"/>
      <c r="B16" s="50"/>
      <c r="C16" s="267" t="s">
        <v>382</v>
      </c>
      <c r="D16" s="283"/>
      <c r="E16" s="265" t="s">
        <v>38</v>
      </c>
      <c r="F16" s="54" t="s">
        <v>9</v>
      </c>
      <c r="G16" s="51">
        <f>+$G$28</f>
        <v>45479</v>
      </c>
      <c r="H16" s="256" t="str">
        <f ca="1">IF(G16=0, " ", IF(AND(G16&lt;TODAY(),G17=0), "NEEDS ACTION", IF(G17=0,"Ongoing", IF(G17&lt;=G16,"Closed on time", IF(G17&gt;G16,"Closed late")))))</f>
        <v>Closed late</v>
      </c>
      <c r="I16" s="308" t="str">
        <f>IF(COUNTIF(Stage2!C15:E18,"")=12,"",IF(COUNTIF(Stage2!C15:C18,"X")+COUNTIF(Stage2!E15:E18,"X")=4, "OK","NG"))</f>
        <v>OK</v>
      </c>
      <c r="J16" s="302">
        <f>IF(I16="","",IF(I16="NG",0,((100/4)/10)))</f>
        <v>2.5</v>
      </c>
      <c r="K16" s="305" t="s">
        <v>723</v>
      </c>
    </row>
    <row r="17" spans="1:23" ht="38" customHeight="1">
      <c r="A17" s="49"/>
      <c r="B17" s="50"/>
      <c r="C17" s="268"/>
      <c r="D17" s="283"/>
      <c r="E17" s="266"/>
      <c r="F17" s="54" t="s">
        <v>10</v>
      </c>
      <c r="G17" s="51">
        <v>45498</v>
      </c>
      <c r="H17" s="256"/>
      <c r="I17" s="309"/>
      <c r="J17" s="302"/>
      <c r="K17" s="305"/>
    </row>
    <row r="18" spans="1:23" ht="87" customHeight="1">
      <c r="A18" s="49"/>
      <c r="B18" s="50"/>
      <c r="C18" s="274" t="s">
        <v>13</v>
      </c>
      <c r="D18" s="283"/>
      <c r="E18" s="265" t="s">
        <v>449</v>
      </c>
      <c r="F18" s="54" t="s">
        <v>9</v>
      </c>
      <c r="G18" s="51">
        <f>+$G$28</f>
        <v>45479</v>
      </c>
      <c r="H18" s="256" t="str">
        <f ca="1">IF(G18=0, " ", IF(AND(G18&lt;TODAY(),G19=0), "NEEDS ACTION", IF(G19=0,"Ongoing", IF(G19&lt;=G18,"Closed on time", IF(G19&gt;G18,"Closed late")))))</f>
        <v>Closed late</v>
      </c>
      <c r="I18" s="308" t="str">
        <f>IF(AND(Stage2!C8="",Stage2!D8="",Stage2!E8=""),"",IF(OR(Stage2!C8="X",Stage2!E8=""),"OK","NG"))</f>
        <v>OK</v>
      </c>
      <c r="J18" s="302">
        <f>IF(I18="","",IF(I18="NG",0,((100/4)/10)))</f>
        <v>2.5</v>
      </c>
      <c r="K18" s="305" t="s">
        <v>732</v>
      </c>
      <c r="L18" s="219" t="s">
        <v>725</v>
      </c>
    </row>
    <row r="19" spans="1:23" ht="43.5" customHeight="1">
      <c r="A19" s="49"/>
      <c r="B19" s="50"/>
      <c r="C19" s="275"/>
      <c r="D19" s="283"/>
      <c r="E19" s="266"/>
      <c r="F19" s="54" t="s">
        <v>10</v>
      </c>
      <c r="G19" s="51">
        <v>45498</v>
      </c>
      <c r="H19" s="256"/>
      <c r="I19" s="309"/>
      <c r="J19" s="302"/>
      <c r="K19" s="305"/>
      <c r="L19" s="219" t="s">
        <v>727</v>
      </c>
    </row>
    <row r="20" spans="1:23" ht="33" customHeight="1">
      <c r="A20" s="49"/>
      <c r="B20" s="50"/>
      <c r="C20" s="263" t="s">
        <v>466</v>
      </c>
      <c r="D20" s="283"/>
      <c r="E20" s="265" t="s">
        <v>450</v>
      </c>
      <c r="F20" s="54" t="s">
        <v>9</v>
      </c>
      <c r="G20" s="51">
        <f>+$G$28</f>
        <v>45479</v>
      </c>
      <c r="H20" s="256" t="str">
        <f ca="1">IF(G20=0, " ", IF(AND(G20&lt;TODAY(),G21=0), "NEEDS ACTION", IF(G21=0,"Ongoing", IF(G21&lt;=G20,"Closed on time", IF(G21&gt;G20,"Closed late")))))</f>
        <v>Closed late</v>
      </c>
      <c r="I20" s="308" t="s">
        <v>722</v>
      </c>
      <c r="J20" s="302">
        <f>IF(I20="","",IF(I20="NG",0,((100/4)/10)))</f>
        <v>2.5</v>
      </c>
      <c r="K20" s="305" t="s">
        <v>724</v>
      </c>
      <c r="L20" s="219"/>
    </row>
    <row r="21" spans="1:23" ht="33" customHeight="1">
      <c r="A21" s="49"/>
      <c r="B21" s="50"/>
      <c r="C21" s="264"/>
      <c r="D21" s="283"/>
      <c r="E21" s="266"/>
      <c r="F21" s="54" t="s">
        <v>10</v>
      </c>
      <c r="G21" s="51">
        <v>45512</v>
      </c>
      <c r="H21" s="256"/>
      <c r="I21" s="309"/>
      <c r="J21" s="302"/>
      <c r="K21" s="305"/>
      <c r="L21" s="219"/>
    </row>
    <row r="22" spans="1:23" ht="38" customHeight="1">
      <c r="A22" s="49"/>
      <c r="B22" s="50"/>
      <c r="C22" s="284" t="s">
        <v>622</v>
      </c>
      <c r="D22" s="283"/>
      <c r="E22" s="265" t="s">
        <v>321</v>
      </c>
      <c r="F22" s="54" t="s">
        <v>9</v>
      </c>
      <c r="G22" s="51">
        <f>+$G$28</f>
        <v>45479</v>
      </c>
      <c r="H22" s="256" t="str">
        <f ca="1">IF(G22=0, " ", IF(AND(G22&lt;TODAY(),G23=0), "NEEDS ACTION", IF(G23=0,"Ongoing", IF(G23&lt;=G22,"Closed on time", IF(G23&gt;G22,"Closed late")))))</f>
        <v>Closed late</v>
      </c>
      <c r="I22" s="308" t="s">
        <v>722</v>
      </c>
      <c r="J22" s="302">
        <f>IF(I22="","",IF(I22="NG",0,((100/4)/10)))</f>
        <v>2.5</v>
      </c>
      <c r="K22" s="306" t="s">
        <v>728</v>
      </c>
      <c r="L22" s="219"/>
    </row>
    <row r="23" spans="1:23" ht="38" customHeight="1">
      <c r="A23" s="49"/>
      <c r="B23" s="50"/>
      <c r="C23" s="285"/>
      <c r="D23" s="283"/>
      <c r="E23" s="266"/>
      <c r="F23" s="54" t="s">
        <v>10</v>
      </c>
      <c r="G23" s="51">
        <v>45546</v>
      </c>
      <c r="H23" s="256"/>
      <c r="I23" s="309"/>
      <c r="J23" s="302"/>
      <c r="K23" s="306"/>
      <c r="L23" s="219"/>
    </row>
    <row r="24" spans="1:23" ht="26.25" customHeight="1">
      <c r="A24" s="49"/>
      <c r="B24" s="50"/>
      <c r="C24" s="263" t="s">
        <v>466</v>
      </c>
      <c r="D24" s="283"/>
      <c r="E24" s="265" t="s">
        <v>39</v>
      </c>
      <c r="F24" s="54" t="s">
        <v>9</v>
      </c>
      <c r="G24" s="51">
        <f>+$G$28</f>
        <v>45479</v>
      </c>
      <c r="H24" s="256" t="str">
        <f ca="1">IF(G24=0, " ", IF(AND(G24&lt;TODAY(),G25=0), "NEEDS ACTION", IF(G25=0,"Ongoing", IF(G25&lt;=G24,"Closed on time", IF(G25&gt;G24,"Closed late")))))</f>
        <v>Closed on time</v>
      </c>
      <c r="I24" s="308" t="str">
        <f>IF(AND(Stage2!C12="",Stage2!D12="",Stage2!E12=""),"",IF(OR(Stage2!C12="X",Stage2!E12="X"),"OK","NG"))</f>
        <v>OK</v>
      </c>
      <c r="J24" s="302">
        <f>IF(I24="","",IF(I24="NG",0,((100/4)/10)))</f>
        <v>2.5</v>
      </c>
      <c r="K24" s="306" t="s">
        <v>720</v>
      </c>
      <c r="L24" s="219"/>
    </row>
    <row r="25" spans="1:23" ht="26.25" customHeight="1">
      <c r="A25" s="49"/>
      <c r="B25" s="50"/>
      <c r="C25" s="264"/>
      <c r="D25" s="283"/>
      <c r="E25" s="266"/>
      <c r="F25" s="54" t="s">
        <v>10</v>
      </c>
      <c r="G25" s="51">
        <v>45457</v>
      </c>
      <c r="H25" s="256"/>
      <c r="I25" s="309"/>
      <c r="J25" s="302"/>
      <c r="K25" s="305"/>
    </row>
    <row r="26" spans="1:23" ht="26.25" customHeight="1">
      <c r="A26" s="49"/>
      <c r="B26" s="50"/>
      <c r="C26" s="267" t="s">
        <v>382</v>
      </c>
      <c r="D26" s="283"/>
      <c r="E26" s="265" t="s">
        <v>451</v>
      </c>
      <c r="F26" s="54" t="s">
        <v>9</v>
      </c>
      <c r="G26" s="51">
        <f>+$G$28</f>
        <v>45479</v>
      </c>
      <c r="H26" s="256" t="str">
        <f ca="1">IF(G26=0, " ", IF(AND(G26&lt;TODAY(),G27=0), "NEEDS ACTION", IF(G27=0,"Ongoing", IF(G27&lt;=G26,"Closed on time", IF(G27&gt;G26,"Closed late")))))</f>
        <v>Closed on time</v>
      </c>
      <c r="I26" s="308" t="s">
        <v>722</v>
      </c>
      <c r="J26" s="302">
        <f>IF(I26="","",IF(I26="NG",0,((100/4)/10)))</f>
        <v>2.5</v>
      </c>
      <c r="K26" s="307"/>
    </row>
    <row r="27" spans="1:23" ht="26.25" customHeight="1">
      <c r="A27" s="49"/>
      <c r="B27" s="50"/>
      <c r="C27" s="268"/>
      <c r="D27" s="283"/>
      <c r="E27" s="266"/>
      <c r="F27" s="54" t="s">
        <v>10</v>
      </c>
      <c r="G27" s="51">
        <v>45292</v>
      </c>
      <c r="H27" s="256"/>
      <c r="I27" s="309"/>
      <c r="J27" s="302"/>
      <c r="K27" s="307"/>
    </row>
    <row r="28" spans="1:23" ht="26.25" customHeight="1">
      <c r="A28" s="49"/>
      <c r="B28" s="50"/>
      <c r="C28" s="280" t="s">
        <v>12</v>
      </c>
      <c r="D28" s="283"/>
      <c r="E28" s="265" t="s">
        <v>40</v>
      </c>
      <c r="F28" s="54" t="s">
        <v>9</v>
      </c>
      <c r="G28" s="51">
        <f>+G31-32</f>
        <v>45479</v>
      </c>
      <c r="H28" s="256" t="str">
        <f ca="1">IF(G28=0, " ", IF(AND(G28&lt;TODAY(),G29=0), "NEEDS ACTION", IF(G29=0,"Ongoing", IF(G29&lt;=G28,"Closed on time", IF(G29&gt;G28,"Closed late")))))</f>
        <v>Closed on time</v>
      </c>
      <c r="I28" s="308" t="str">
        <f>IF(AND(Stage2!C16="",Stage2!D16="",Stage2!E16=""),"",IF(OR(Stage2!C16="X",Stage2!E16="X"),"OK","NG"))</f>
        <v>OK</v>
      </c>
      <c r="J28" s="302">
        <f>IF(I28="","",IF('Programa APQP'!I28:I29="NG",0,((100/4)/10)))</f>
        <v>2.5</v>
      </c>
      <c r="K28" s="305" t="s">
        <v>721</v>
      </c>
    </row>
    <row r="29" spans="1:23" ht="26.25" customHeight="1">
      <c r="A29" s="49"/>
      <c r="B29" s="50"/>
      <c r="C29" s="281"/>
      <c r="D29" s="283"/>
      <c r="E29" s="266"/>
      <c r="F29" s="54" t="s">
        <v>10</v>
      </c>
      <c r="G29" s="51">
        <v>45442</v>
      </c>
      <c r="H29" s="256"/>
      <c r="I29" s="309"/>
      <c r="J29" s="302"/>
      <c r="K29" s="305"/>
    </row>
    <row r="30" spans="1:23" s="52" customFormat="1" ht="31.5" customHeight="1">
      <c r="A30" s="261"/>
      <c r="B30" s="262"/>
      <c r="C30" s="273"/>
      <c r="D30" s="273"/>
      <c r="E30" s="152" t="s">
        <v>23</v>
      </c>
      <c r="F30" s="151"/>
      <c r="G30" s="150"/>
      <c r="H30" s="150" t="s">
        <v>323</v>
      </c>
      <c r="I30" s="9" t="s">
        <v>722</v>
      </c>
      <c r="J30" s="9">
        <f>IF(SUM(J10:J29)="","",SUM(J10:J29))</f>
        <v>25</v>
      </c>
      <c r="K30" s="215"/>
    </row>
    <row r="31" spans="1:23" ht="26.25" customHeight="1">
      <c r="A31" s="228"/>
      <c r="B31" s="230"/>
      <c r="C31" s="280" t="s">
        <v>12</v>
      </c>
      <c r="D31" s="282" t="s">
        <v>604</v>
      </c>
      <c r="E31" s="269" t="s">
        <v>366</v>
      </c>
      <c r="F31" s="54" t="s">
        <v>9</v>
      </c>
      <c r="G31" s="51">
        <f>+$G$57</f>
        <v>45511</v>
      </c>
      <c r="H31" s="256" t="str">
        <f t="shared" ref="H31:H57" ca="1" si="0">IF(G31=0, " ", IF(AND(G31&lt;TODAY(),G32=0), "NEEDS ACTION", IF(G32=0,"Ongoing", IF(G32&lt;=G31,"Closed on time", IF(G32&gt;G31,"Closed late")))))</f>
        <v>Closed on time</v>
      </c>
      <c r="I31" s="308" t="s">
        <v>722</v>
      </c>
      <c r="J31" s="302">
        <f>IF(I31="","",IF(I31="NG",0,((100/4)/14)))</f>
        <v>1.7857142857142858</v>
      </c>
      <c r="K31" s="306" t="s">
        <v>715</v>
      </c>
      <c r="L31" s="219"/>
      <c r="M31" s="219"/>
      <c r="N31" s="219"/>
      <c r="O31" s="219"/>
      <c r="P31" s="219"/>
      <c r="Q31" s="219"/>
      <c r="R31" s="219"/>
      <c r="S31" s="219"/>
      <c r="T31" s="219"/>
      <c r="U31" s="219"/>
      <c r="V31" s="219"/>
      <c r="W31" s="219"/>
    </row>
    <row r="32" spans="1:23" ht="26.25" customHeight="1">
      <c r="A32" s="234"/>
      <c r="B32" s="236"/>
      <c r="C32" s="281"/>
      <c r="D32" s="283"/>
      <c r="E32" s="270"/>
      <c r="F32" s="54" t="s">
        <v>10</v>
      </c>
      <c r="G32" s="51">
        <v>45397</v>
      </c>
      <c r="H32" s="256"/>
      <c r="I32" s="309"/>
      <c r="J32" s="302"/>
      <c r="K32" s="305"/>
      <c r="L32" s="219"/>
      <c r="M32" s="219"/>
      <c r="N32" s="219"/>
      <c r="O32" s="219"/>
      <c r="P32" s="219"/>
      <c r="Q32" s="219"/>
      <c r="R32" s="219"/>
      <c r="S32" s="219"/>
      <c r="T32" s="219"/>
      <c r="U32" s="219"/>
      <c r="V32" s="219"/>
      <c r="W32" s="219"/>
    </row>
    <row r="33" spans="1:23" ht="26.25" customHeight="1">
      <c r="A33" s="228">
        <v>3.18</v>
      </c>
      <c r="B33" s="230"/>
      <c r="C33" s="271" t="s">
        <v>11</v>
      </c>
      <c r="D33" s="283"/>
      <c r="E33" s="269" t="s">
        <v>42</v>
      </c>
      <c r="F33" s="54" t="s">
        <v>9</v>
      </c>
      <c r="G33" s="51">
        <f>+$G$57</f>
        <v>45511</v>
      </c>
      <c r="H33" s="256" t="str">
        <f t="shared" ca="1" si="0"/>
        <v>Closed on time</v>
      </c>
      <c r="I33" s="308" t="str">
        <f>IF(AND(Stage2!C21="",Stage2!D21="",Stage2!E21=""),"",IF(OR(Stage2!C21="X",Stage2!E21="X"),"OK","NG"))</f>
        <v>OK</v>
      </c>
      <c r="J33" s="302">
        <f>IF(I33="","",IF(I33="NG",0,((100/4)/14)))</f>
        <v>1.7857142857142858</v>
      </c>
      <c r="K33" s="306" t="s">
        <v>716</v>
      </c>
      <c r="L33" s="219"/>
      <c r="M33" s="219"/>
      <c r="N33" s="219"/>
      <c r="O33" s="219"/>
      <c r="P33" s="219"/>
      <c r="Q33" s="219"/>
      <c r="R33" s="219"/>
      <c r="S33" s="219"/>
      <c r="T33" s="219"/>
      <c r="U33" s="219"/>
      <c r="V33" s="219"/>
      <c r="W33" s="219"/>
    </row>
    <row r="34" spans="1:23" ht="26.25" customHeight="1">
      <c r="A34" s="234"/>
      <c r="B34" s="236"/>
      <c r="C34" s="272"/>
      <c r="D34" s="283"/>
      <c r="E34" s="270"/>
      <c r="F34" s="54" t="s">
        <v>10</v>
      </c>
      <c r="G34" s="51">
        <v>45427</v>
      </c>
      <c r="H34" s="256"/>
      <c r="I34" s="309"/>
      <c r="J34" s="302"/>
      <c r="K34" s="312"/>
      <c r="L34" s="219" t="s">
        <v>717</v>
      </c>
      <c r="M34" s="219"/>
      <c r="N34" s="219"/>
      <c r="O34" s="219"/>
      <c r="P34" s="219"/>
      <c r="Q34" s="219"/>
      <c r="R34" s="219"/>
      <c r="S34" s="219"/>
      <c r="T34" s="219"/>
      <c r="U34" s="219"/>
      <c r="V34" s="219"/>
      <c r="W34" s="219"/>
    </row>
    <row r="35" spans="1:23" ht="26.25" customHeight="1">
      <c r="A35" s="276">
        <v>3.19</v>
      </c>
      <c r="B35" s="277"/>
      <c r="C35" s="280" t="s">
        <v>12</v>
      </c>
      <c r="D35" s="283"/>
      <c r="E35" s="269" t="s">
        <v>53</v>
      </c>
      <c r="F35" s="54" t="s">
        <v>9</v>
      </c>
      <c r="G35" s="51">
        <f>+$G$57</f>
        <v>45511</v>
      </c>
      <c r="H35" s="256" t="str">
        <f t="shared" ca="1" si="0"/>
        <v>Closed late</v>
      </c>
      <c r="I35" s="308" t="str">
        <f>IF(AND(Stage2!C23="",Stage2!D23="",Stage2!E23=""),"",IF(OR(Stage2!C23="X",Stage2!E23="X"),"OK","NG"))</f>
        <v>OK</v>
      </c>
      <c r="J35" s="302">
        <f>IF(I35="","",IF(I35="NG",0,((100/4)/14)))</f>
        <v>1.7857142857142858</v>
      </c>
      <c r="K35" s="305" t="s">
        <v>726</v>
      </c>
      <c r="L35" s="219"/>
      <c r="M35" s="219"/>
      <c r="N35" s="219"/>
      <c r="O35" s="219"/>
      <c r="P35" s="219"/>
      <c r="Q35" s="219"/>
      <c r="R35" s="219"/>
      <c r="S35" s="219"/>
      <c r="T35" s="219"/>
      <c r="U35" s="219"/>
      <c r="V35" s="219"/>
      <c r="W35" s="219"/>
    </row>
    <row r="36" spans="1:23" ht="26.25" customHeight="1">
      <c r="A36" s="278"/>
      <c r="B36" s="279"/>
      <c r="C36" s="281"/>
      <c r="D36" s="283"/>
      <c r="E36" s="270"/>
      <c r="F36" s="54" t="s">
        <v>10</v>
      </c>
      <c r="G36" s="51">
        <v>45512</v>
      </c>
      <c r="H36" s="256"/>
      <c r="I36" s="309"/>
      <c r="J36" s="302"/>
      <c r="K36" s="307"/>
      <c r="L36" s="219"/>
      <c r="M36" s="219"/>
      <c r="N36" s="219"/>
      <c r="O36" s="219"/>
      <c r="P36" s="219"/>
      <c r="Q36" s="219"/>
      <c r="R36" s="219"/>
      <c r="S36" s="219"/>
      <c r="T36" s="219"/>
      <c r="U36" s="219"/>
      <c r="V36" s="219"/>
      <c r="W36" s="219"/>
    </row>
    <row r="37" spans="1:23" ht="26.25" customHeight="1">
      <c r="A37" s="228">
        <v>2.2400000000000002</v>
      </c>
      <c r="B37" s="230"/>
      <c r="C37" s="271" t="s">
        <v>11</v>
      </c>
      <c r="D37" s="283"/>
      <c r="E37" s="269" t="s">
        <v>43</v>
      </c>
      <c r="F37" s="54" t="s">
        <v>9</v>
      </c>
      <c r="G37" s="51">
        <v>45513</v>
      </c>
      <c r="H37" s="256" t="str">
        <f t="shared" ca="1" si="0"/>
        <v>Closed late</v>
      </c>
      <c r="I37" s="308" t="s">
        <v>722</v>
      </c>
      <c r="J37" s="302">
        <f>IF(I37="","",IF(I37="NG",0,((100/4)/14)))</f>
        <v>1.7857142857142858</v>
      </c>
      <c r="K37" s="305" t="s">
        <v>733</v>
      </c>
      <c r="L37" s="219"/>
      <c r="M37" s="219"/>
      <c r="N37" s="219"/>
      <c r="O37" s="219"/>
      <c r="P37" s="219"/>
      <c r="Q37" s="219"/>
      <c r="R37" s="219"/>
      <c r="S37" s="219"/>
      <c r="T37" s="219"/>
      <c r="U37" s="219"/>
      <c r="V37" s="219"/>
      <c r="W37" s="219"/>
    </row>
    <row r="38" spans="1:23" ht="26.25" customHeight="1">
      <c r="A38" s="234"/>
      <c r="B38" s="236"/>
      <c r="C38" s="272"/>
      <c r="D38" s="283"/>
      <c r="E38" s="270"/>
      <c r="F38" s="54" t="s">
        <v>10</v>
      </c>
      <c r="G38" s="51">
        <v>45544</v>
      </c>
      <c r="H38" s="256"/>
      <c r="I38" s="309"/>
      <c r="J38" s="302"/>
      <c r="K38" s="307"/>
      <c r="L38" s="219"/>
      <c r="M38" s="219"/>
      <c r="N38" s="219"/>
      <c r="O38" s="219"/>
      <c r="P38" s="219"/>
      <c r="Q38" s="219"/>
      <c r="R38" s="219"/>
      <c r="S38" s="219"/>
      <c r="T38" s="219"/>
      <c r="U38" s="219"/>
      <c r="V38" s="219"/>
      <c r="W38" s="219"/>
    </row>
    <row r="39" spans="1:23" ht="26.25" customHeight="1">
      <c r="A39" s="228">
        <v>2.25</v>
      </c>
      <c r="B39" s="230"/>
      <c r="C39" s="271" t="s">
        <v>11</v>
      </c>
      <c r="D39" s="283"/>
      <c r="E39" s="269" t="s">
        <v>44</v>
      </c>
      <c r="F39" s="54" t="s">
        <v>9</v>
      </c>
      <c r="G39" s="51">
        <f>+$G$57</f>
        <v>45511</v>
      </c>
      <c r="H39" s="256" t="str">
        <f t="shared" ca="1" si="0"/>
        <v>Closed on time</v>
      </c>
      <c r="I39" s="308" t="str">
        <f>IF(AND(Stage2!C26="",Stage2!D26="",Stage2!E26=""),"",IF(OR(Stage2!C26="X",Stage2!E26="x"),"OK","NG"))</f>
        <v>OK</v>
      </c>
      <c r="J39" s="302">
        <f>IF(I39="","",IF(I39="NG",0,((100/4)/14)))</f>
        <v>1.7857142857142858</v>
      </c>
      <c r="K39" s="306" t="s">
        <v>709</v>
      </c>
      <c r="L39" s="219"/>
      <c r="M39" s="219"/>
      <c r="N39" s="219"/>
      <c r="O39" s="219"/>
      <c r="P39" s="219"/>
      <c r="Q39" s="219"/>
      <c r="R39" s="219"/>
      <c r="S39" s="219"/>
      <c r="T39" s="219"/>
      <c r="U39" s="219"/>
      <c r="V39" s="219"/>
      <c r="W39" s="219"/>
    </row>
    <row r="40" spans="1:23" ht="26.25" customHeight="1">
      <c r="A40" s="234"/>
      <c r="B40" s="236"/>
      <c r="C40" s="272"/>
      <c r="D40" s="283"/>
      <c r="E40" s="270"/>
      <c r="F40" s="54" t="s">
        <v>10</v>
      </c>
      <c r="G40" s="51">
        <v>45464</v>
      </c>
      <c r="H40" s="256"/>
      <c r="I40" s="309"/>
      <c r="J40" s="302"/>
      <c r="K40" s="307"/>
      <c r="L40" s="219"/>
      <c r="M40" s="219"/>
      <c r="N40" s="219"/>
      <c r="O40" s="219"/>
      <c r="P40" s="219"/>
      <c r="Q40" s="219"/>
      <c r="R40" s="219"/>
      <c r="S40" s="219"/>
      <c r="T40" s="219"/>
      <c r="U40" s="219"/>
      <c r="V40" s="219"/>
      <c r="W40" s="219"/>
    </row>
    <row r="41" spans="1:23" ht="26.25" customHeight="1">
      <c r="A41" s="228">
        <v>3.11</v>
      </c>
      <c r="B41" s="230"/>
      <c r="C41" s="274" t="s">
        <v>13</v>
      </c>
      <c r="D41" s="283"/>
      <c r="E41" s="269" t="s">
        <v>54</v>
      </c>
      <c r="F41" s="54" t="s">
        <v>9</v>
      </c>
      <c r="G41" s="51">
        <f>+$G$57</f>
        <v>45511</v>
      </c>
      <c r="H41" s="256" t="str">
        <f t="shared" ca="1" si="0"/>
        <v>Closed on time</v>
      </c>
      <c r="I41" s="308" t="s">
        <v>722</v>
      </c>
      <c r="J41" s="302">
        <f>IF(I41="","",IF(I41="NG",0,((100/4)/14)))</f>
        <v>1.7857142857142858</v>
      </c>
      <c r="K41" s="306" t="s">
        <v>718</v>
      </c>
      <c r="L41" s="219"/>
      <c r="M41" s="219"/>
      <c r="N41" s="219"/>
      <c r="O41" s="219"/>
      <c r="P41" s="219"/>
      <c r="Q41" s="219"/>
      <c r="R41" s="219"/>
      <c r="S41" s="219"/>
      <c r="T41" s="219"/>
      <c r="U41" s="219"/>
      <c r="V41" s="219"/>
      <c r="W41" s="219"/>
    </row>
    <row r="42" spans="1:23" ht="26.25" customHeight="1">
      <c r="A42" s="234"/>
      <c r="B42" s="236"/>
      <c r="C42" s="275"/>
      <c r="D42" s="283"/>
      <c r="E42" s="270"/>
      <c r="F42" s="54" t="s">
        <v>10</v>
      </c>
      <c r="G42" s="51">
        <v>45450</v>
      </c>
      <c r="H42" s="256"/>
      <c r="I42" s="309"/>
      <c r="J42" s="302"/>
      <c r="K42" s="307"/>
      <c r="L42" s="219"/>
      <c r="M42" s="219"/>
      <c r="N42" s="219"/>
      <c r="O42" s="219"/>
      <c r="P42" s="219"/>
      <c r="Q42" s="219"/>
      <c r="R42" s="219"/>
      <c r="S42" s="219"/>
      <c r="T42" s="219"/>
      <c r="U42" s="219"/>
      <c r="V42" s="219"/>
      <c r="W42" s="219"/>
    </row>
    <row r="43" spans="1:23" ht="26.25" customHeight="1">
      <c r="A43" s="228">
        <v>3.12</v>
      </c>
      <c r="B43" s="230"/>
      <c r="C43" s="271" t="s">
        <v>11</v>
      </c>
      <c r="D43" s="283"/>
      <c r="E43" s="269" t="s">
        <v>14</v>
      </c>
      <c r="F43" s="54" t="s">
        <v>9</v>
      </c>
      <c r="G43" s="51">
        <v>45513</v>
      </c>
      <c r="H43" s="256" t="str">
        <f t="shared" ca="1" si="0"/>
        <v>Closed late</v>
      </c>
      <c r="I43" s="308" t="s">
        <v>722</v>
      </c>
      <c r="J43" s="302">
        <f>IF(I43="","",IF(I43="NG",0,((100/4)/14)))</f>
        <v>1.7857142857142858</v>
      </c>
      <c r="K43" s="313"/>
      <c r="L43" s="219"/>
      <c r="M43" s="219"/>
      <c r="N43" s="219" t="s">
        <v>734</v>
      </c>
      <c r="O43" s="219"/>
      <c r="P43" s="219"/>
      <c r="Q43" s="219"/>
      <c r="R43" s="219"/>
      <c r="S43" s="219"/>
      <c r="T43" s="219"/>
      <c r="U43" s="219"/>
      <c r="V43" s="219"/>
      <c r="W43" s="219"/>
    </row>
    <row r="44" spans="1:23" ht="26.25" customHeight="1">
      <c r="A44" s="234"/>
      <c r="B44" s="236"/>
      <c r="C44" s="272"/>
      <c r="D44" s="283"/>
      <c r="E44" s="287"/>
      <c r="F44" s="54" t="s">
        <v>10</v>
      </c>
      <c r="G44" s="51">
        <v>45544</v>
      </c>
      <c r="H44" s="256"/>
      <c r="I44" s="309"/>
      <c r="J44" s="302"/>
      <c r="K44" s="314"/>
      <c r="L44" s="219"/>
      <c r="M44" s="219"/>
      <c r="N44" s="219"/>
      <c r="O44" s="219"/>
      <c r="P44" s="219"/>
      <c r="Q44" s="219"/>
      <c r="R44" s="219"/>
      <c r="S44" s="219"/>
      <c r="T44" s="219"/>
      <c r="U44" s="219"/>
      <c r="V44" s="219"/>
      <c r="W44" s="219"/>
    </row>
    <row r="45" spans="1:23" ht="26.25" customHeight="1">
      <c r="A45" s="228">
        <v>3.16</v>
      </c>
      <c r="B45" s="230"/>
      <c r="C45" s="280" t="s">
        <v>12</v>
      </c>
      <c r="D45" s="283"/>
      <c r="E45" s="269" t="s">
        <v>62</v>
      </c>
      <c r="F45" s="54" t="s">
        <v>9</v>
      </c>
      <c r="G45" s="51">
        <v>45513</v>
      </c>
      <c r="H45" s="256" t="str">
        <f ca="1">IF(G45=0, " ", IF(AND(G45&lt;TODAY(),G46=0), "NEEDS ACTION", IF(G46=0,"Ongoing", IF(G46&lt;=G45,"Closed on time", IF(G46&gt;G45,"Closed late")))))</f>
        <v>Closed on time</v>
      </c>
      <c r="I45" s="308" t="s">
        <v>722</v>
      </c>
      <c r="J45" s="302">
        <f>IF(I45="","",IF(I45="NG",0,((100/4)/14)))</f>
        <v>1.7857142857142858</v>
      </c>
      <c r="K45" s="313"/>
      <c r="L45" s="219"/>
      <c r="M45" s="219"/>
      <c r="N45" s="219" t="s">
        <v>734</v>
      </c>
      <c r="O45" s="219"/>
      <c r="P45" s="219"/>
      <c r="Q45" s="219"/>
      <c r="R45" s="219"/>
      <c r="S45" s="219"/>
      <c r="T45" s="219"/>
      <c r="U45" s="219"/>
      <c r="V45" s="219"/>
      <c r="W45" s="219"/>
    </row>
    <row r="46" spans="1:23" ht="26.25" customHeight="1">
      <c r="A46" s="234"/>
      <c r="B46" s="236"/>
      <c r="C46" s="281"/>
      <c r="D46" s="283"/>
      <c r="E46" s="270"/>
      <c r="F46" s="54" t="s">
        <v>10</v>
      </c>
      <c r="G46" s="51">
        <v>45513</v>
      </c>
      <c r="H46" s="256"/>
      <c r="I46" s="309"/>
      <c r="J46" s="302"/>
      <c r="K46" s="314"/>
      <c r="L46" s="219"/>
      <c r="M46" s="219"/>
      <c r="N46" s="219"/>
      <c r="O46" s="219"/>
      <c r="P46" s="219"/>
      <c r="Q46" s="219"/>
      <c r="R46" s="219"/>
      <c r="S46" s="219"/>
      <c r="T46" s="219"/>
      <c r="U46" s="219"/>
      <c r="V46" s="219"/>
      <c r="W46" s="219"/>
    </row>
    <row r="47" spans="1:23" ht="26.25" customHeight="1">
      <c r="A47" s="228">
        <v>3.17</v>
      </c>
      <c r="B47" s="230"/>
      <c r="C47" s="271" t="s">
        <v>11</v>
      </c>
      <c r="D47" s="283"/>
      <c r="E47" s="269" t="s">
        <v>45</v>
      </c>
      <c r="F47" s="54" t="s">
        <v>9</v>
      </c>
      <c r="G47" s="51">
        <v>45513</v>
      </c>
      <c r="H47" s="256" t="str">
        <f t="shared" ca="1" si="0"/>
        <v>Closed late</v>
      </c>
      <c r="I47" s="308" t="s">
        <v>722</v>
      </c>
      <c r="J47" s="302">
        <f>IF(I47="","",IF(I47="NG",0,((100/4)/14)))</f>
        <v>1.7857142857142858</v>
      </c>
      <c r="K47" s="305" t="s">
        <v>735</v>
      </c>
      <c r="L47" s="220">
        <v>45553</v>
      </c>
      <c r="M47" s="219"/>
      <c r="N47" s="219"/>
      <c r="O47" s="219"/>
      <c r="P47" s="219"/>
      <c r="Q47" s="219"/>
      <c r="R47" s="219"/>
      <c r="S47" s="219"/>
      <c r="T47" s="219"/>
      <c r="U47" s="219"/>
      <c r="V47" s="219"/>
      <c r="W47" s="219"/>
    </row>
    <row r="48" spans="1:23" ht="26.25" customHeight="1">
      <c r="A48" s="234"/>
      <c r="B48" s="236"/>
      <c r="C48" s="272"/>
      <c r="D48" s="283"/>
      <c r="E48" s="270"/>
      <c r="F48" s="54" t="s">
        <v>10</v>
      </c>
      <c r="G48" s="51">
        <v>45544</v>
      </c>
      <c r="H48" s="256"/>
      <c r="I48" s="309"/>
      <c r="J48" s="302"/>
      <c r="K48" s="307"/>
      <c r="L48" s="219"/>
      <c r="M48" s="219"/>
      <c r="N48" s="219"/>
      <c r="O48" s="219"/>
      <c r="P48" s="219"/>
      <c r="Q48" s="219"/>
      <c r="R48" s="219"/>
      <c r="S48" s="219"/>
      <c r="T48" s="219"/>
      <c r="U48" s="219"/>
      <c r="V48" s="219"/>
      <c r="W48" s="219"/>
    </row>
    <row r="49" spans="1:23" ht="26.25" customHeight="1">
      <c r="A49" s="276" t="s">
        <v>15</v>
      </c>
      <c r="B49" s="277"/>
      <c r="C49" s="280" t="s">
        <v>12</v>
      </c>
      <c r="D49" s="283"/>
      <c r="E49" s="269" t="s">
        <v>55</v>
      </c>
      <c r="F49" s="54" t="s">
        <v>9</v>
      </c>
      <c r="G49" s="51">
        <f>+$G$57</f>
        <v>45511</v>
      </c>
      <c r="H49" s="256" t="str">
        <f t="shared" ca="1" si="0"/>
        <v>Closed on time</v>
      </c>
      <c r="I49" s="308" t="s">
        <v>722</v>
      </c>
      <c r="J49" s="302">
        <f>IF(I49="","",IF(I49="NG",0,((100/4)/14)))</f>
        <v>1.7857142857142858</v>
      </c>
      <c r="K49" s="306" t="s">
        <v>710</v>
      </c>
      <c r="L49" s="219"/>
      <c r="M49" s="219"/>
      <c r="N49" s="219"/>
      <c r="O49" s="219"/>
      <c r="P49" s="219"/>
      <c r="Q49" s="219"/>
      <c r="R49" s="219"/>
      <c r="S49" s="219"/>
      <c r="T49" s="219"/>
      <c r="U49" s="219"/>
      <c r="V49" s="219"/>
      <c r="W49" s="219"/>
    </row>
    <row r="50" spans="1:23" ht="26.25" customHeight="1">
      <c r="A50" s="278"/>
      <c r="B50" s="279"/>
      <c r="C50" s="281"/>
      <c r="D50" s="283"/>
      <c r="E50" s="270"/>
      <c r="F50" s="54" t="s">
        <v>10</v>
      </c>
      <c r="G50" s="51">
        <v>45456</v>
      </c>
      <c r="H50" s="256"/>
      <c r="I50" s="309"/>
      <c r="J50" s="302"/>
      <c r="K50" s="306"/>
      <c r="L50" s="219"/>
      <c r="M50" s="219"/>
      <c r="N50" s="219"/>
      <c r="O50" s="219"/>
      <c r="P50" s="219"/>
      <c r="Q50" s="219"/>
      <c r="R50" s="219"/>
      <c r="S50" s="219"/>
      <c r="T50" s="219"/>
      <c r="U50" s="219"/>
      <c r="V50" s="219"/>
      <c r="W50" s="219"/>
    </row>
    <row r="51" spans="1:23" ht="26.25" customHeight="1">
      <c r="A51" s="228">
        <v>3.15</v>
      </c>
      <c r="B51" s="230"/>
      <c r="C51" s="274" t="s">
        <v>13</v>
      </c>
      <c r="D51" s="283"/>
      <c r="E51" s="269" t="s">
        <v>56</v>
      </c>
      <c r="F51" s="54" t="s">
        <v>9</v>
      </c>
      <c r="G51" s="51">
        <f>+$G$57</f>
        <v>45511</v>
      </c>
      <c r="H51" s="256" t="str">
        <f t="shared" ca="1" si="0"/>
        <v>Closed on time</v>
      </c>
      <c r="I51" s="308" t="s">
        <v>722</v>
      </c>
      <c r="J51" s="302">
        <f>IF(I51="","",IF(I51="NG",0,((100/4)/14)))</f>
        <v>1.7857142857142858</v>
      </c>
      <c r="K51" s="312" t="s">
        <v>711</v>
      </c>
      <c r="L51" s="219"/>
      <c r="M51" s="219"/>
      <c r="N51" s="219"/>
      <c r="O51" s="219"/>
      <c r="P51" s="219"/>
      <c r="Q51" s="219"/>
      <c r="R51" s="219"/>
      <c r="S51" s="219"/>
      <c r="T51" s="219"/>
      <c r="U51" s="219"/>
      <c r="V51" s="219"/>
      <c r="W51" s="219"/>
    </row>
    <row r="52" spans="1:23" ht="26.25" customHeight="1">
      <c r="A52" s="234"/>
      <c r="B52" s="236"/>
      <c r="C52" s="275"/>
      <c r="D52" s="283"/>
      <c r="E52" s="270"/>
      <c r="F52" s="54" t="s">
        <v>10</v>
      </c>
      <c r="G52" s="51">
        <v>45456</v>
      </c>
      <c r="H52" s="256"/>
      <c r="I52" s="309"/>
      <c r="J52" s="302"/>
      <c r="K52" s="312"/>
      <c r="L52" s="219"/>
      <c r="M52" s="219"/>
      <c r="N52" s="219"/>
      <c r="O52" s="219"/>
      <c r="P52" s="219"/>
      <c r="Q52" s="219"/>
      <c r="R52" s="219"/>
      <c r="S52" s="219"/>
      <c r="T52" s="219"/>
      <c r="U52" s="219"/>
      <c r="V52" s="219"/>
      <c r="W52" s="219"/>
    </row>
    <row r="53" spans="1:23" ht="26.25" customHeight="1">
      <c r="A53" s="228">
        <v>3.21</v>
      </c>
      <c r="B53" s="230"/>
      <c r="C53" s="263" t="s">
        <v>466</v>
      </c>
      <c r="D53" s="283"/>
      <c r="E53" s="269" t="s">
        <v>46</v>
      </c>
      <c r="F53" s="54" t="s">
        <v>9</v>
      </c>
      <c r="G53" s="51">
        <v>45511</v>
      </c>
      <c r="H53" s="256" t="str">
        <f t="shared" ca="1" si="0"/>
        <v>Closed on time</v>
      </c>
      <c r="I53" s="308" t="s">
        <v>722</v>
      </c>
      <c r="J53" s="302">
        <f>IF(I53="","",IF(I53="NG",0,((100/4)/14)))</f>
        <v>1.7857142857142858</v>
      </c>
      <c r="K53" s="307" t="s">
        <v>712</v>
      </c>
      <c r="L53" s="219"/>
      <c r="M53" s="219"/>
      <c r="N53" s="219"/>
      <c r="O53" s="219"/>
      <c r="P53" s="219"/>
      <c r="Q53" s="219"/>
      <c r="R53" s="219"/>
      <c r="S53" s="219"/>
      <c r="T53" s="219"/>
      <c r="U53" s="219"/>
      <c r="V53" s="219"/>
      <c r="W53" s="219"/>
    </row>
    <row r="54" spans="1:23" ht="26.25" customHeight="1">
      <c r="A54" s="234"/>
      <c r="B54" s="236"/>
      <c r="C54" s="264"/>
      <c r="D54" s="283"/>
      <c r="E54" s="270"/>
      <c r="F54" s="54" t="s">
        <v>10</v>
      </c>
      <c r="G54" s="51">
        <v>45480</v>
      </c>
      <c r="H54" s="256"/>
      <c r="I54" s="309"/>
      <c r="J54" s="302"/>
      <c r="K54" s="307"/>
    </row>
    <row r="55" spans="1:23" ht="26.25" customHeight="1">
      <c r="A55" s="228"/>
      <c r="B55" s="230"/>
      <c r="C55" s="280" t="s">
        <v>12</v>
      </c>
      <c r="D55" s="283"/>
      <c r="E55" s="293" t="s">
        <v>322</v>
      </c>
      <c r="F55" s="54" t="s">
        <v>9</v>
      </c>
      <c r="G55" s="51">
        <v>45511</v>
      </c>
      <c r="H55" s="256" t="str">
        <f t="shared" ref="H55" ca="1" si="1">IF(G55=0, " ", IF(AND(G55&lt;TODAY(),G56=0), "NEEDS ACTION", IF(G56=0,"Ongoing", IF(G56&lt;=G55,"Closed on time", IF(G56&gt;G55,"Closed late")))))</f>
        <v>Closed on time</v>
      </c>
      <c r="I55" s="308" t="s">
        <v>722</v>
      </c>
      <c r="J55" s="302">
        <f>IF(I55="","",IF(I55="NG",0,((100/4)/14)))</f>
        <v>1.7857142857142858</v>
      </c>
      <c r="K55" s="307" t="s">
        <v>713</v>
      </c>
    </row>
    <row r="56" spans="1:23" ht="26.25" customHeight="1">
      <c r="A56" s="234"/>
      <c r="B56" s="236"/>
      <c r="C56" s="281"/>
      <c r="D56" s="283"/>
      <c r="E56" s="294"/>
      <c r="F56" s="54" t="s">
        <v>10</v>
      </c>
      <c r="G56" s="51">
        <v>45480</v>
      </c>
      <c r="H56" s="256"/>
      <c r="I56" s="309"/>
      <c r="J56" s="302"/>
      <c r="K56" s="307"/>
    </row>
    <row r="57" spans="1:23" ht="26.25" customHeight="1">
      <c r="A57" s="228"/>
      <c r="B57" s="230"/>
      <c r="C57" s="263" t="s">
        <v>466</v>
      </c>
      <c r="D57" s="283"/>
      <c r="E57" s="293" t="s">
        <v>47</v>
      </c>
      <c r="F57" s="54" t="s">
        <v>9</v>
      </c>
      <c r="G57" s="51">
        <v>45511</v>
      </c>
      <c r="H57" s="256" t="str">
        <f t="shared" ca="1" si="0"/>
        <v>Closed on time</v>
      </c>
      <c r="I57" s="308" t="s">
        <v>722</v>
      </c>
      <c r="J57" s="302">
        <f>IF(I57="","",IF(I57="NG",0,((100/4)/14)))</f>
        <v>1.7857142857142858</v>
      </c>
      <c r="K57" s="307" t="s">
        <v>708</v>
      </c>
    </row>
    <row r="58" spans="1:23" ht="26.25" customHeight="1">
      <c r="A58" s="234"/>
      <c r="B58" s="236"/>
      <c r="C58" s="264"/>
      <c r="D58" s="286"/>
      <c r="E58" s="294"/>
      <c r="F58" s="54" t="s">
        <v>10</v>
      </c>
      <c r="G58" s="51">
        <v>45480</v>
      </c>
      <c r="H58" s="256"/>
      <c r="I58" s="309"/>
      <c r="J58" s="302"/>
      <c r="K58" s="307"/>
    </row>
    <row r="59" spans="1:23" ht="26">
      <c r="A59" s="303"/>
      <c r="B59" s="304"/>
      <c r="C59" s="295"/>
      <c r="D59" s="295"/>
      <c r="E59" s="147" t="s">
        <v>23</v>
      </c>
      <c r="F59" s="148"/>
      <c r="G59" s="149"/>
      <c r="H59" s="149" t="s">
        <v>323</v>
      </c>
      <c r="I59" s="9" t="str">
        <f>IF(COUNTIF(I31:I58,"")=28,"",IF(COUNTIF(I31:I58,"OK")=14,"OK","NG"))</f>
        <v>OK</v>
      </c>
      <c r="J59" s="9">
        <f>IF(SUM(J31:J58)="","",SUM(J31:J58))</f>
        <v>24.999999999999996</v>
      </c>
      <c r="K59" s="216"/>
    </row>
    <row r="60" spans="1:23" ht="26.25" customHeight="1">
      <c r="A60" s="228" t="s">
        <v>16</v>
      </c>
      <c r="B60" s="230"/>
      <c r="C60" s="263" t="s">
        <v>466</v>
      </c>
      <c r="D60" s="282" t="s">
        <v>49</v>
      </c>
      <c r="E60" s="288" t="s">
        <v>408</v>
      </c>
      <c r="F60" s="54" t="s">
        <v>9</v>
      </c>
      <c r="G60" s="51">
        <f>+$G$66</f>
        <v>45524</v>
      </c>
      <c r="H60" s="256" t="str">
        <f t="shared" ref="H60:H76" ca="1" si="2">IF(G60=0, " ", IF(AND(G60&lt;TODAY(),G61=0), "NEEDS ACTION", IF(G61=0,"Ongoing", IF(G61&lt;=G60,"Closed on time", IF(G61&gt;G60,"Closed late")))))</f>
        <v>Closed late</v>
      </c>
      <c r="I60" s="308" t="s">
        <v>722</v>
      </c>
      <c r="J60" s="302">
        <f>IF(I60="","",IF(I60="NG",0,((100/4)/9)))</f>
        <v>2.7777777777777777</v>
      </c>
      <c r="K60" s="307" t="s">
        <v>736</v>
      </c>
    </row>
    <row r="61" spans="1:23" ht="26.25" customHeight="1">
      <c r="A61" s="234"/>
      <c r="B61" s="236"/>
      <c r="C61" s="264"/>
      <c r="D61" s="283"/>
      <c r="E61" s="289"/>
      <c r="F61" s="54" t="s">
        <v>10</v>
      </c>
      <c r="G61" s="51">
        <v>45546</v>
      </c>
      <c r="H61" s="256"/>
      <c r="I61" s="309"/>
      <c r="J61" s="302"/>
      <c r="K61" s="307"/>
    </row>
    <row r="62" spans="1:23" ht="26.25" customHeight="1">
      <c r="A62" s="228" t="s">
        <v>17</v>
      </c>
      <c r="B62" s="230"/>
      <c r="C62" s="280" t="s">
        <v>12</v>
      </c>
      <c r="D62" s="283"/>
      <c r="E62" s="288" t="s">
        <v>409</v>
      </c>
      <c r="F62" s="54" t="s">
        <v>9</v>
      </c>
      <c r="G62" s="51">
        <f>+$G$66</f>
        <v>45524</v>
      </c>
      <c r="H62" s="256" t="str">
        <f t="shared" ca="1" si="2"/>
        <v>Closed late</v>
      </c>
      <c r="I62" s="308" t="s">
        <v>722</v>
      </c>
      <c r="J62" s="302">
        <f>IF(I62="","",IF(I62="NG",0,((100/4)/9)))</f>
        <v>2.7777777777777777</v>
      </c>
      <c r="K62" s="313" t="s">
        <v>737</v>
      </c>
    </row>
    <row r="63" spans="1:23" ht="26.25" customHeight="1">
      <c r="A63" s="234"/>
      <c r="B63" s="236"/>
      <c r="C63" s="281"/>
      <c r="D63" s="283"/>
      <c r="E63" s="289"/>
      <c r="F63" s="54" t="s">
        <v>10</v>
      </c>
      <c r="G63" s="51">
        <v>45560</v>
      </c>
      <c r="H63" s="256"/>
      <c r="I63" s="309"/>
      <c r="J63" s="302"/>
      <c r="K63" s="314"/>
    </row>
    <row r="64" spans="1:23" ht="26.25" customHeight="1">
      <c r="A64" s="228" t="s">
        <v>18</v>
      </c>
      <c r="B64" s="230"/>
      <c r="C64" s="274" t="s">
        <v>13</v>
      </c>
      <c r="D64" s="283"/>
      <c r="E64" s="288" t="s">
        <v>410</v>
      </c>
      <c r="F64" s="54" t="s">
        <v>9</v>
      </c>
      <c r="G64" s="51">
        <f>+$G$66</f>
        <v>45524</v>
      </c>
      <c r="H64" s="256" t="str">
        <f t="shared" ca="1" si="2"/>
        <v>Closed late</v>
      </c>
      <c r="I64" s="308" t="s">
        <v>722</v>
      </c>
      <c r="J64" s="302">
        <f>IF(I64="","",IF(I64="NG",0,((100/4)/9)))</f>
        <v>2.7777777777777777</v>
      </c>
      <c r="K64" s="315" t="s">
        <v>738</v>
      </c>
    </row>
    <row r="65" spans="1:11" ht="26.25" customHeight="1">
      <c r="A65" s="234"/>
      <c r="B65" s="236"/>
      <c r="C65" s="275"/>
      <c r="D65" s="283"/>
      <c r="E65" s="289"/>
      <c r="F65" s="54" t="s">
        <v>10</v>
      </c>
      <c r="G65" s="51">
        <v>45562</v>
      </c>
      <c r="H65" s="256"/>
      <c r="I65" s="309"/>
      <c r="J65" s="302"/>
      <c r="K65" s="307"/>
    </row>
    <row r="66" spans="1:11" ht="26.25" customHeight="1">
      <c r="A66" s="228">
        <v>4.3</v>
      </c>
      <c r="B66" s="230"/>
      <c r="C66" s="280" t="s">
        <v>12</v>
      </c>
      <c r="D66" s="283"/>
      <c r="E66" s="288" t="s">
        <v>411</v>
      </c>
      <c r="F66" s="54" t="s">
        <v>9</v>
      </c>
      <c r="G66" s="51">
        <f>+'Portada '!D7</f>
        <v>45524</v>
      </c>
      <c r="H66" s="256" t="str">
        <f t="shared" ca="1" si="2"/>
        <v>Closed late</v>
      </c>
      <c r="I66" s="308" t="s">
        <v>722</v>
      </c>
      <c r="J66" s="302">
        <f>IF(I66="","",IF(I66="NG",0,((100/4)/9)))</f>
        <v>2.7777777777777777</v>
      </c>
      <c r="K66" s="315" t="s">
        <v>739</v>
      </c>
    </row>
    <row r="67" spans="1:11" ht="26.25" customHeight="1">
      <c r="A67" s="234"/>
      <c r="B67" s="236"/>
      <c r="C67" s="281"/>
      <c r="D67" s="283"/>
      <c r="E67" s="289"/>
      <c r="F67" s="54" t="s">
        <v>10</v>
      </c>
      <c r="G67" s="51">
        <v>45568</v>
      </c>
      <c r="H67" s="256"/>
      <c r="I67" s="309"/>
      <c r="J67" s="302"/>
      <c r="K67" s="307"/>
    </row>
    <row r="68" spans="1:11" ht="26.25" customHeight="1">
      <c r="A68" s="228">
        <v>5.9</v>
      </c>
      <c r="B68" s="230"/>
      <c r="C68" s="280" t="s">
        <v>12</v>
      </c>
      <c r="D68" s="283"/>
      <c r="E68" s="288" t="s">
        <v>412</v>
      </c>
      <c r="F68" s="54" t="s">
        <v>9</v>
      </c>
      <c r="G68" s="51">
        <v>45531</v>
      </c>
      <c r="H68" s="256" t="str">
        <f t="shared" ca="1" si="2"/>
        <v>Closed late</v>
      </c>
      <c r="I68" s="308" t="s">
        <v>722</v>
      </c>
      <c r="J68" s="302">
        <f>IF(I68="","",IF(I68="NG",0,((100/4)/9)))</f>
        <v>2.7777777777777777</v>
      </c>
      <c r="K68" s="307" t="s">
        <v>731</v>
      </c>
    </row>
    <row r="69" spans="1:11" ht="26.25" customHeight="1">
      <c r="A69" s="234"/>
      <c r="B69" s="236"/>
      <c r="C69" s="281"/>
      <c r="D69" s="283"/>
      <c r="E69" s="289"/>
      <c r="F69" s="54" t="s">
        <v>10</v>
      </c>
      <c r="G69" s="51">
        <v>45573</v>
      </c>
      <c r="H69" s="256"/>
      <c r="I69" s="309"/>
      <c r="J69" s="302"/>
      <c r="K69" s="307"/>
    </row>
    <row r="70" spans="1:11" ht="26.25" customHeight="1">
      <c r="A70" s="228">
        <v>5.7</v>
      </c>
      <c r="B70" s="230"/>
      <c r="C70" s="271" t="s">
        <v>11</v>
      </c>
      <c r="D70" s="283"/>
      <c r="E70" s="288" t="s">
        <v>413</v>
      </c>
      <c r="F70" s="54" t="s">
        <v>9</v>
      </c>
      <c r="G70" s="51">
        <v>45538</v>
      </c>
      <c r="H70" s="256" t="str">
        <f t="shared" ca="1" si="2"/>
        <v>Closed late</v>
      </c>
      <c r="I70" s="308" t="s">
        <v>722</v>
      </c>
      <c r="J70" s="302">
        <f>IF(I70="","",IF(I70="NG",0,((100/4)/9)))</f>
        <v>2.7777777777777777</v>
      </c>
      <c r="K70" s="307" t="s">
        <v>768</v>
      </c>
    </row>
    <row r="71" spans="1:11" ht="26.25" customHeight="1">
      <c r="A71" s="234"/>
      <c r="B71" s="236"/>
      <c r="C71" s="272"/>
      <c r="D71" s="283"/>
      <c r="E71" s="289"/>
      <c r="F71" s="54" t="s">
        <v>10</v>
      </c>
      <c r="G71" s="51">
        <v>45568</v>
      </c>
      <c r="H71" s="256"/>
      <c r="I71" s="309"/>
      <c r="J71" s="302"/>
      <c r="K71" s="307"/>
    </row>
    <row r="72" spans="1:11" ht="26.25" customHeight="1">
      <c r="A72" s="228"/>
      <c r="B72" s="230"/>
      <c r="C72" s="280" t="s">
        <v>12</v>
      </c>
      <c r="D72" s="283"/>
      <c r="E72" s="288" t="s">
        <v>414</v>
      </c>
      <c r="F72" s="54" t="s">
        <v>9</v>
      </c>
      <c r="G72" s="51">
        <v>45560</v>
      </c>
      <c r="H72" s="256" t="str">
        <f t="shared" ca="1" si="2"/>
        <v>Closed on time</v>
      </c>
      <c r="I72" s="308" t="s">
        <v>722</v>
      </c>
      <c r="J72" s="302">
        <f>IF(I72="","",IF(I72="NG",0,((100/4)/9)))</f>
        <v>2.7777777777777777</v>
      </c>
      <c r="K72" s="307" t="s">
        <v>740</v>
      </c>
    </row>
    <row r="73" spans="1:11" ht="26.25" customHeight="1">
      <c r="A73" s="234"/>
      <c r="B73" s="236"/>
      <c r="C73" s="281"/>
      <c r="D73" s="283"/>
      <c r="E73" s="289"/>
      <c r="F73" s="54" t="s">
        <v>10</v>
      </c>
      <c r="G73" s="51">
        <v>45560</v>
      </c>
      <c r="H73" s="256"/>
      <c r="I73" s="309"/>
      <c r="J73" s="302"/>
      <c r="K73" s="307"/>
    </row>
    <row r="74" spans="1:11" ht="26.25" customHeight="1">
      <c r="A74" s="228"/>
      <c r="B74" s="230"/>
      <c r="C74" s="271" t="s">
        <v>11</v>
      </c>
      <c r="D74" s="283"/>
      <c r="E74" s="288" t="s">
        <v>646</v>
      </c>
      <c r="F74" s="54" t="s">
        <v>9</v>
      </c>
      <c r="G74" s="51">
        <v>45565</v>
      </c>
      <c r="H74" s="256" t="str">
        <f t="shared" ref="H74" ca="1" si="3">IF(G74=0, " ", IF(AND(G74&lt;TODAY(),G75=0), "NEEDS ACTION", IF(G75=0,"Ongoing", IF(G75&lt;=G74,"Closed on time", IF(G75&gt;G74,"Closed late")))))</f>
        <v>Closed on time</v>
      </c>
      <c r="I74" s="308" t="s">
        <v>722</v>
      </c>
      <c r="J74" s="302">
        <f>IF(I74="","",IF(I74="NG",0,((100/4)/9)))</f>
        <v>2.7777777777777777</v>
      </c>
      <c r="K74" s="307" t="s">
        <v>741</v>
      </c>
    </row>
    <row r="75" spans="1:11" ht="26.25" customHeight="1">
      <c r="A75" s="234"/>
      <c r="B75" s="236"/>
      <c r="C75" s="272"/>
      <c r="D75" s="283"/>
      <c r="E75" s="289"/>
      <c r="F75" s="54" t="s">
        <v>10</v>
      </c>
      <c r="G75" s="51">
        <v>45562</v>
      </c>
      <c r="H75" s="256"/>
      <c r="I75" s="309"/>
      <c r="J75" s="302"/>
      <c r="K75" s="307"/>
    </row>
    <row r="76" spans="1:11" ht="26.25" customHeight="1">
      <c r="A76" s="228"/>
      <c r="B76" s="230"/>
      <c r="C76" s="263" t="s">
        <v>466</v>
      </c>
      <c r="D76" s="283"/>
      <c r="E76" s="288" t="s">
        <v>649</v>
      </c>
      <c r="F76" s="54" t="s">
        <v>9</v>
      </c>
      <c r="G76" s="51">
        <v>45658</v>
      </c>
      <c r="H76" s="256" t="str">
        <f t="shared" ca="1" si="2"/>
        <v>Closed on time</v>
      </c>
      <c r="I76" s="308" t="s">
        <v>722</v>
      </c>
      <c r="J76" s="302">
        <f>IF(I76="","",IF(I76="NG",0,((100/4)/9)))</f>
        <v>2.7777777777777777</v>
      </c>
      <c r="K76" s="307"/>
    </row>
    <row r="77" spans="1:11" ht="26.25" customHeight="1">
      <c r="A77" s="234"/>
      <c r="B77" s="236"/>
      <c r="C77" s="264"/>
      <c r="D77" s="286"/>
      <c r="E77" s="289"/>
      <c r="F77" s="54" t="s">
        <v>10</v>
      </c>
      <c r="G77" s="51">
        <v>45575</v>
      </c>
      <c r="H77" s="256"/>
      <c r="I77" s="309"/>
      <c r="J77" s="302"/>
      <c r="K77" s="307"/>
    </row>
    <row r="78" spans="1:11" ht="33" customHeight="1">
      <c r="A78" s="298"/>
      <c r="B78" s="299"/>
      <c r="C78" s="297"/>
      <c r="D78" s="297"/>
      <c r="E78" s="155" t="s">
        <v>23</v>
      </c>
      <c r="F78" s="154"/>
      <c r="G78" s="153"/>
      <c r="H78" s="153" t="s">
        <v>323</v>
      </c>
      <c r="I78" s="9" t="str">
        <f>IF(COUNTIF(I60:I77,"")=18,"",IF(COUNTIF(I60:I77,"OK")=9,"OK","NG"))</f>
        <v>OK</v>
      </c>
      <c r="J78" s="9">
        <f>IF(SUM(J60:J77)="","",SUM(J60:J77))</f>
        <v>25.000000000000004</v>
      </c>
      <c r="K78" s="216"/>
    </row>
    <row r="79" spans="1:11" ht="26.25" customHeight="1">
      <c r="A79" s="228"/>
      <c r="B79" s="230"/>
      <c r="C79" s="274" t="s">
        <v>13</v>
      </c>
      <c r="D79" s="282" t="s">
        <v>50</v>
      </c>
      <c r="E79" s="296" t="s">
        <v>415</v>
      </c>
      <c r="F79" s="55" t="s">
        <v>9</v>
      </c>
      <c r="G79" s="51">
        <v>45778</v>
      </c>
      <c r="H79" s="256" t="str">
        <f t="shared" ref="H79:H89" ca="1" si="4">IF(G79=0, " ", IF(AND(G79&lt;TODAY(),G80=0), "NEEDS ACTION", IF(G80=0,"Ongoing", IF(G80&lt;=G79,"Closed on time", IF(G80&gt;G79,"Closed late")))))</f>
        <v>Closed on time</v>
      </c>
      <c r="I79" s="308" t="str">
        <f>IF((COUNTIF('21'!H36:H39,"")+COUNTIF('21'!I36:I39,"")+COUNTIF('21'!J36:J39,""))=12,"",IF((COUNTIF('21'!H36:H39,"X")+COUNTIF('21'!J36:J39,"X")=4),"OK","NG"))</f>
        <v/>
      </c>
      <c r="J79" s="302" t="str">
        <f>IF(I79="","",IF(I79="NG",0,((100/4)/6)))</f>
        <v/>
      </c>
      <c r="K79" s="307"/>
    </row>
    <row r="80" spans="1:11" ht="26.25" customHeight="1">
      <c r="A80" s="234"/>
      <c r="B80" s="236"/>
      <c r="C80" s="275"/>
      <c r="D80" s="283"/>
      <c r="E80" s="296"/>
      <c r="F80" s="55" t="s">
        <v>10</v>
      </c>
      <c r="G80" s="51">
        <v>45703</v>
      </c>
      <c r="H80" s="256"/>
      <c r="I80" s="309"/>
      <c r="J80" s="302"/>
      <c r="K80" s="307"/>
    </row>
    <row r="81" spans="1:11" ht="26.25" customHeight="1">
      <c r="A81" s="228"/>
      <c r="B81" s="230"/>
      <c r="C81" s="280" t="s">
        <v>12</v>
      </c>
      <c r="D81" s="283"/>
      <c r="E81" s="296" t="s">
        <v>416</v>
      </c>
      <c r="F81" s="55" t="s">
        <v>9</v>
      </c>
      <c r="G81" s="51">
        <v>45778</v>
      </c>
      <c r="H81" s="256" t="str">
        <f t="shared" ca="1" si="4"/>
        <v>Closed on time</v>
      </c>
      <c r="I81" s="308" t="str">
        <f>IF((COUNTIF('22'!H37:H38,"")+COUNTIF('22'!I37:I38,"")+COUNTIF('22'!J37:J38,""))=6,"",IF((COUNTIF('22'!H37:H38,"X")+COUNTIF('22'!J37:J38,"X")=2),"OK","NG"))</f>
        <v/>
      </c>
      <c r="J81" s="302" t="str">
        <f t="shared" ref="J81" si="5">IF(I81="","",IF(I81="NG",0,((100/4)/6)))</f>
        <v/>
      </c>
      <c r="K81" s="307"/>
    </row>
    <row r="82" spans="1:11" ht="26.25" customHeight="1">
      <c r="A82" s="234"/>
      <c r="B82" s="236"/>
      <c r="C82" s="281"/>
      <c r="D82" s="283"/>
      <c r="E82" s="296"/>
      <c r="F82" s="55" t="s">
        <v>10</v>
      </c>
      <c r="G82" s="51">
        <v>45731</v>
      </c>
      <c r="H82" s="256"/>
      <c r="I82" s="309"/>
      <c r="J82" s="302"/>
      <c r="K82" s="307"/>
    </row>
    <row r="83" spans="1:11" ht="26.25" customHeight="1">
      <c r="A83" s="228"/>
      <c r="B83" s="230"/>
      <c r="C83" s="280" t="s">
        <v>12</v>
      </c>
      <c r="D83" s="283"/>
      <c r="E83" s="296" t="s">
        <v>417</v>
      </c>
      <c r="F83" s="55" t="s">
        <v>9</v>
      </c>
      <c r="G83" s="51">
        <v>45778</v>
      </c>
      <c r="H83" s="256" t="str">
        <f t="shared" ca="1" si="4"/>
        <v>Closed on time</v>
      </c>
      <c r="I83" s="308" t="str">
        <f>IF((COUNTIF('23'!H38:H39,"")+COUNTIF('23'!I38:I39,"")+COUNTIF('23'!J38:J39,""))=6,"",IF((COUNTIF('23'!H38:H39,"X")+COUNTIF('23'!J38:J39,"X")=2),"OK","NG"))</f>
        <v/>
      </c>
      <c r="J83" s="302" t="str">
        <f t="shared" ref="J83" si="6">IF(I83="","",IF(I83="NG",0,((100/4)/6)))</f>
        <v/>
      </c>
      <c r="K83" s="307"/>
    </row>
    <row r="84" spans="1:11" ht="26.25" customHeight="1">
      <c r="A84" s="234"/>
      <c r="B84" s="236"/>
      <c r="C84" s="281"/>
      <c r="D84" s="283"/>
      <c r="E84" s="296"/>
      <c r="F84" s="55" t="s">
        <v>10</v>
      </c>
      <c r="G84" s="51">
        <v>45759</v>
      </c>
      <c r="H84" s="256"/>
      <c r="I84" s="309"/>
      <c r="J84" s="302"/>
      <c r="K84" s="307"/>
    </row>
    <row r="85" spans="1:11" ht="26.25" customHeight="1">
      <c r="A85" s="302">
        <v>6.16</v>
      </c>
      <c r="B85" s="302"/>
      <c r="C85" s="274" t="s">
        <v>13</v>
      </c>
      <c r="D85" s="283"/>
      <c r="E85" s="296" t="s">
        <v>418</v>
      </c>
      <c r="F85" s="55" t="s">
        <v>9</v>
      </c>
      <c r="G85" s="51">
        <v>45778</v>
      </c>
      <c r="H85" s="256" t="str">
        <f t="shared" ca="1" si="4"/>
        <v>Closed on time</v>
      </c>
      <c r="I85" s="308" t="str">
        <f>IF((COUNTIF('24'!H39:H43,"")+COUNTIF('24'!I39:I43,"")+COUNTIF('24'!J39:J43,""))=15,"",IF((COUNTIF('24'!H39:H43,"X")+COUNTIF('24'!J39:J43,"X")=5),"OK","NG"))</f>
        <v/>
      </c>
      <c r="J85" s="302" t="str">
        <f t="shared" ref="J85" si="7">IF(I85="","",IF(I85="NG",0,((100/4)/6)))</f>
        <v/>
      </c>
      <c r="K85" s="307"/>
    </row>
    <row r="86" spans="1:11" ht="26.25" customHeight="1">
      <c r="A86" s="302"/>
      <c r="B86" s="302"/>
      <c r="C86" s="275"/>
      <c r="D86" s="283"/>
      <c r="E86" s="296"/>
      <c r="F86" s="55" t="s">
        <v>10</v>
      </c>
      <c r="G86" s="51">
        <v>45673</v>
      </c>
      <c r="H86" s="256"/>
      <c r="I86" s="309"/>
      <c r="J86" s="302"/>
      <c r="K86" s="307"/>
    </row>
    <row r="87" spans="1:11" ht="26.25" customHeight="1">
      <c r="A87" s="300"/>
      <c r="B87" s="300"/>
      <c r="C87" s="263" t="s">
        <v>466</v>
      </c>
      <c r="D87" s="283"/>
      <c r="E87" s="296" t="s">
        <v>419</v>
      </c>
      <c r="F87" s="55" t="s">
        <v>9</v>
      </c>
      <c r="G87" s="51">
        <v>45778</v>
      </c>
      <c r="H87" s="256" t="str">
        <f t="shared" ca="1" si="4"/>
        <v>Closed on time</v>
      </c>
      <c r="I87" s="308" t="str">
        <f>IF(COUNTIF('25'!H40:J44,"")=15,"",IF(AND('25'!H40="X",'25'!I41="X",'25'!J42="X",'25'!J43="X",'25'!H44="X"),"OK",IF(COUNTIF('25'!H40:H44,"X")=5,"OK","NG")))</f>
        <v/>
      </c>
      <c r="J87" s="302" t="str">
        <f t="shared" ref="J87" si="8">IF(I87="","",IF(I87="NG",0,((100/4)/6)))</f>
        <v/>
      </c>
      <c r="K87" s="307"/>
    </row>
    <row r="88" spans="1:11" ht="26.25" customHeight="1">
      <c r="A88" s="300"/>
      <c r="B88" s="300"/>
      <c r="C88" s="264"/>
      <c r="D88" s="283"/>
      <c r="E88" s="296"/>
      <c r="F88" s="55" t="s">
        <v>10</v>
      </c>
      <c r="G88" s="51">
        <v>45569</v>
      </c>
      <c r="H88" s="256"/>
      <c r="I88" s="309"/>
      <c r="J88" s="302"/>
      <c r="K88" s="307"/>
    </row>
    <row r="89" spans="1:11" ht="26.25" customHeight="1">
      <c r="A89" s="300"/>
      <c r="B89" s="300"/>
      <c r="C89" s="263" t="s">
        <v>466</v>
      </c>
      <c r="D89" s="283"/>
      <c r="E89" s="301" t="s">
        <v>48</v>
      </c>
      <c r="F89" s="55" t="s">
        <v>9</v>
      </c>
      <c r="G89" s="51">
        <v>45778</v>
      </c>
      <c r="H89" s="256" t="str">
        <f t="shared" ca="1" si="4"/>
        <v>NEEDS ACTION</v>
      </c>
      <c r="I89" s="308" t="str">
        <f>IF('Stage 5'!B43="","",IF((COUNTIF('Stage 5'!B43:B45,"OK")=3),"OK","NG"))</f>
        <v/>
      </c>
      <c r="J89" s="302" t="str">
        <f t="shared" ref="J89" si="9">IF(I89="","",IF(I89="NG",0,((100/4)/6)))</f>
        <v/>
      </c>
      <c r="K89" s="307"/>
    </row>
    <row r="90" spans="1:11" ht="26.25" customHeight="1">
      <c r="A90" s="300"/>
      <c r="B90" s="300"/>
      <c r="C90" s="264"/>
      <c r="D90" s="286"/>
      <c r="E90" s="301"/>
      <c r="F90" s="55" t="s">
        <v>10</v>
      </c>
      <c r="G90" s="51"/>
      <c r="H90" s="256"/>
      <c r="I90" s="309"/>
      <c r="J90" s="302"/>
      <c r="K90" s="307"/>
    </row>
    <row r="91" spans="1:11" ht="26">
      <c r="A91" s="316"/>
      <c r="B91" s="317"/>
      <c r="C91" s="318"/>
      <c r="D91" s="318"/>
      <c r="E91" s="206" t="s">
        <v>23</v>
      </c>
      <c r="F91" s="207"/>
      <c r="G91" s="208"/>
      <c r="H91" s="208" t="s">
        <v>323</v>
      </c>
      <c r="I91" s="9" t="str">
        <f>IF(COUNTIF(I79:I90,"")=12,"",IF(COUNTIF(I79:I90,"OK")=6,"OK","NG"))</f>
        <v/>
      </c>
      <c r="J91" s="9">
        <f>IF(SUM(J79:J90)="","",SUM(J79:J90))</f>
        <v>0</v>
      </c>
      <c r="K91" s="18"/>
    </row>
  </sheetData>
  <autoFilter ref="A9:P91" xr:uid="{00000000-0001-0000-0100-000000000000}">
    <filterColumn colId="0" showButton="0"/>
  </autoFilter>
  <customSheetViews>
    <customSheetView guid="{0D2B2804-9719-4CF5-836A-6C18EF806972}" scale="69" showPageBreaks="1" showGridLines="0" fitToPage="1" printArea="1" view="pageBreakPreview" topLeftCell="A18">
      <selection activeCell="J31" sqref="J31"/>
      <pageMargins left="0.70866141732283472" right="0.70866141732283472" top="0.74803149606299213" bottom="0.74803149606299213" header="0.31496062992125984" footer="0.31496062992125984"/>
      <pageSetup paperSize="3" scale="29" orientation="landscape" r:id="rId1"/>
    </customSheetView>
    <customSheetView guid="{F51EB4BE-1505-43EE-8F62-937E5A5046CB}" scale="80" showPageBreaks="1" showGridLines="0" fitToPage="1" printArea="1" view="pageBreakPreview">
      <selection activeCell="G6" sqref="G6"/>
      <pageMargins left="0.70866141732283472" right="0.70866141732283472" top="0.74803149606299213" bottom="0.74803149606299213" header="0.31496062992125984" footer="0.31496062992125984"/>
      <pageSetup paperSize="3" scale="24" orientation="landscape" r:id="rId2"/>
    </customSheetView>
  </customSheetViews>
  <mergeCells count="283">
    <mergeCell ref="A91:B91"/>
    <mergeCell ref="C91:D91"/>
    <mergeCell ref="I85:I86"/>
    <mergeCell ref="J85:J86"/>
    <mergeCell ref="K85:K86"/>
    <mergeCell ref="I87:I88"/>
    <mergeCell ref="J87:J88"/>
    <mergeCell ref="K87:K88"/>
    <mergeCell ref="I89:I90"/>
    <mergeCell ref="J89:J90"/>
    <mergeCell ref="K89:K90"/>
    <mergeCell ref="I79:I80"/>
    <mergeCell ref="J79:J80"/>
    <mergeCell ref="K79:K80"/>
    <mergeCell ref="I81:I82"/>
    <mergeCell ref="J81:J82"/>
    <mergeCell ref="K81:K82"/>
    <mergeCell ref="I83:I84"/>
    <mergeCell ref="J83:J84"/>
    <mergeCell ref="K83:K84"/>
    <mergeCell ref="I72:I73"/>
    <mergeCell ref="J72:J73"/>
    <mergeCell ref="K72:K73"/>
    <mergeCell ref="I74:I75"/>
    <mergeCell ref="J74:J75"/>
    <mergeCell ref="K74:K75"/>
    <mergeCell ref="I76:I77"/>
    <mergeCell ref="J76:J77"/>
    <mergeCell ref="K76:K77"/>
    <mergeCell ref="I66:I67"/>
    <mergeCell ref="J66:J67"/>
    <mergeCell ref="K66:K67"/>
    <mergeCell ref="I68:I69"/>
    <mergeCell ref="J68:J69"/>
    <mergeCell ref="K68:K69"/>
    <mergeCell ref="I70:I71"/>
    <mergeCell ref="J70:J71"/>
    <mergeCell ref="K70:K71"/>
    <mergeCell ref="I60:I61"/>
    <mergeCell ref="J60:J61"/>
    <mergeCell ref="K60:K61"/>
    <mergeCell ref="I62:I63"/>
    <mergeCell ref="J62:J63"/>
    <mergeCell ref="K62:K63"/>
    <mergeCell ref="I64:I65"/>
    <mergeCell ref="J64:J65"/>
    <mergeCell ref="K64:K65"/>
    <mergeCell ref="I53:I54"/>
    <mergeCell ref="J53:J54"/>
    <mergeCell ref="K53:K54"/>
    <mergeCell ref="I55:I56"/>
    <mergeCell ref="J55:J56"/>
    <mergeCell ref="K55:K56"/>
    <mergeCell ref="I57:I58"/>
    <mergeCell ref="J57:J58"/>
    <mergeCell ref="K57:K58"/>
    <mergeCell ref="I47:I48"/>
    <mergeCell ref="J47:J48"/>
    <mergeCell ref="K47:K48"/>
    <mergeCell ref="I49:I50"/>
    <mergeCell ref="J49:J50"/>
    <mergeCell ref="K49:K50"/>
    <mergeCell ref="I51:I52"/>
    <mergeCell ref="J51:J52"/>
    <mergeCell ref="K51:K52"/>
    <mergeCell ref="I41:I42"/>
    <mergeCell ref="J41:J42"/>
    <mergeCell ref="K41:K42"/>
    <mergeCell ref="I43:I44"/>
    <mergeCell ref="J43:J44"/>
    <mergeCell ref="K43:K44"/>
    <mergeCell ref="I45:I46"/>
    <mergeCell ref="J45:J46"/>
    <mergeCell ref="K45:K46"/>
    <mergeCell ref="I35:I36"/>
    <mergeCell ref="J35:J36"/>
    <mergeCell ref="K35:K36"/>
    <mergeCell ref="I37:I38"/>
    <mergeCell ref="J37:J38"/>
    <mergeCell ref="K37:K38"/>
    <mergeCell ref="I39:I40"/>
    <mergeCell ref="J39:J40"/>
    <mergeCell ref="K39:K40"/>
    <mergeCell ref="I28:I29"/>
    <mergeCell ref="F8:K8"/>
    <mergeCell ref="F7:K7"/>
    <mergeCell ref="D1:K4"/>
    <mergeCell ref="A5:K5"/>
    <mergeCell ref="I31:I32"/>
    <mergeCell ref="J31:J32"/>
    <mergeCell ref="K31:K32"/>
    <mergeCell ref="I33:I34"/>
    <mergeCell ref="J33:J34"/>
    <mergeCell ref="K33:K34"/>
    <mergeCell ref="I20:I21"/>
    <mergeCell ref="I18:I19"/>
    <mergeCell ref="I16:I17"/>
    <mergeCell ref="I14:I15"/>
    <mergeCell ref="I12:I13"/>
    <mergeCell ref="I10:I11"/>
    <mergeCell ref="I22:I23"/>
    <mergeCell ref="I24:I25"/>
    <mergeCell ref="I26:I27"/>
    <mergeCell ref="J28:J29"/>
    <mergeCell ref="K10:K11"/>
    <mergeCell ref="K12:K13"/>
    <mergeCell ref="K14:K15"/>
    <mergeCell ref="K16:K17"/>
    <mergeCell ref="K18:K19"/>
    <mergeCell ref="K20:K21"/>
    <mergeCell ref="K22:K23"/>
    <mergeCell ref="K24:K25"/>
    <mergeCell ref="K26:K27"/>
    <mergeCell ref="K28:K29"/>
    <mergeCell ref="J10:J11"/>
    <mergeCell ref="J12:J13"/>
    <mergeCell ref="J14:J15"/>
    <mergeCell ref="J16:J17"/>
    <mergeCell ref="J18:J19"/>
    <mergeCell ref="J20:J21"/>
    <mergeCell ref="J22:J23"/>
    <mergeCell ref="J24:J25"/>
    <mergeCell ref="J26:J27"/>
    <mergeCell ref="H74:H75"/>
    <mergeCell ref="C8:E8"/>
    <mergeCell ref="A89:B90"/>
    <mergeCell ref="D60:D77"/>
    <mergeCell ref="C89:C90"/>
    <mergeCell ref="D79:D90"/>
    <mergeCell ref="E89:E90"/>
    <mergeCell ref="C85:C86"/>
    <mergeCell ref="E85:E86"/>
    <mergeCell ref="C83:C84"/>
    <mergeCell ref="E83:E84"/>
    <mergeCell ref="E87:E88"/>
    <mergeCell ref="E72:E73"/>
    <mergeCell ref="A85:B86"/>
    <mergeCell ref="A76:B77"/>
    <mergeCell ref="C76:C77"/>
    <mergeCell ref="E76:E77"/>
    <mergeCell ref="E53:E54"/>
    <mergeCell ref="A59:B59"/>
    <mergeCell ref="A60:B61"/>
    <mergeCell ref="C60:C61"/>
    <mergeCell ref="E60:E61"/>
    <mergeCell ref="A87:B88"/>
    <mergeCell ref="C87:C88"/>
    <mergeCell ref="A57:B58"/>
    <mergeCell ref="C59:D59"/>
    <mergeCell ref="A81:B82"/>
    <mergeCell ref="C81:C82"/>
    <mergeCell ref="E81:E82"/>
    <mergeCell ref="A83:B84"/>
    <mergeCell ref="C78:D78"/>
    <mergeCell ref="A72:B73"/>
    <mergeCell ref="C72:C73"/>
    <mergeCell ref="A78:B78"/>
    <mergeCell ref="A79:B80"/>
    <mergeCell ref="C79:C80"/>
    <mergeCell ref="E79:E80"/>
    <mergeCell ref="A74:B75"/>
    <mergeCell ref="C74:C75"/>
    <mergeCell ref="E74:E75"/>
    <mergeCell ref="E39:E40"/>
    <mergeCell ref="A43:B44"/>
    <mergeCell ref="A70:B71"/>
    <mergeCell ref="C70:C71"/>
    <mergeCell ref="E70:E71"/>
    <mergeCell ref="A1:A2"/>
    <mergeCell ref="C7:E7"/>
    <mergeCell ref="A62:B63"/>
    <mergeCell ref="C62:C63"/>
    <mergeCell ref="E62:E63"/>
    <mergeCell ref="A64:B65"/>
    <mergeCell ref="C64:C65"/>
    <mergeCell ref="E64:E65"/>
    <mergeCell ref="C57:C58"/>
    <mergeCell ref="E57:E58"/>
    <mergeCell ref="A55:B56"/>
    <mergeCell ref="C55:C56"/>
    <mergeCell ref="E55:E56"/>
    <mergeCell ref="C66:C67"/>
    <mergeCell ref="E66:E67"/>
    <mergeCell ref="A68:B69"/>
    <mergeCell ref="C68:C69"/>
    <mergeCell ref="E68:E69"/>
    <mergeCell ref="A66:B67"/>
    <mergeCell ref="A53:B54"/>
    <mergeCell ref="C53:C54"/>
    <mergeCell ref="C43:C44"/>
    <mergeCell ref="A49:B50"/>
    <mergeCell ref="C49:C50"/>
    <mergeCell ref="E49:E50"/>
    <mergeCell ref="A51:B52"/>
    <mergeCell ref="D10:D29"/>
    <mergeCell ref="C24:C25"/>
    <mergeCell ref="E24:E25"/>
    <mergeCell ref="A31:B32"/>
    <mergeCell ref="C31:C32"/>
    <mergeCell ref="E31:E32"/>
    <mergeCell ref="C28:C29"/>
    <mergeCell ref="E28:E29"/>
    <mergeCell ref="C20:C21"/>
    <mergeCell ref="E20:E21"/>
    <mergeCell ref="C22:C23"/>
    <mergeCell ref="E22:E23"/>
    <mergeCell ref="D31:D58"/>
    <mergeCell ref="E43:E44"/>
    <mergeCell ref="C51:C52"/>
    <mergeCell ref="E51:E52"/>
    <mergeCell ref="A47:B48"/>
    <mergeCell ref="A33:B34"/>
    <mergeCell ref="C33:C34"/>
    <mergeCell ref="E33:E34"/>
    <mergeCell ref="C30:D30"/>
    <mergeCell ref="C47:C48"/>
    <mergeCell ref="C26:C27"/>
    <mergeCell ref="E26:E27"/>
    <mergeCell ref="C16:C17"/>
    <mergeCell ref="E16:E17"/>
    <mergeCell ref="C18:C19"/>
    <mergeCell ref="E18:E19"/>
    <mergeCell ref="A35:B36"/>
    <mergeCell ref="C35:C36"/>
    <mergeCell ref="E35:E36"/>
    <mergeCell ref="A37:B38"/>
    <mergeCell ref="C37:C38"/>
    <mergeCell ref="E37:E38"/>
    <mergeCell ref="A45:B46"/>
    <mergeCell ref="C45:C46"/>
    <mergeCell ref="E45:E46"/>
    <mergeCell ref="A41:B42"/>
    <mergeCell ref="C41:C42"/>
    <mergeCell ref="E41:E42"/>
    <mergeCell ref="A39:B40"/>
    <mergeCell ref="E10:E11"/>
    <mergeCell ref="C12:C13"/>
    <mergeCell ref="E12:E13"/>
    <mergeCell ref="C14:C15"/>
    <mergeCell ref="E14:E15"/>
    <mergeCell ref="H55:H56"/>
    <mergeCell ref="H57:H58"/>
    <mergeCell ref="H10:H11"/>
    <mergeCell ref="H12:H13"/>
    <mergeCell ref="H14:H15"/>
    <mergeCell ref="H16:H17"/>
    <mergeCell ref="H18:H19"/>
    <mergeCell ref="H20:H21"/>
    <mergeCell ref="H22:H23"/>
    <mergeCell ref="H24:H25"/>
    <mergeCell ref="H26:H27"/>
    <mergeCell ref="H28:H29"/>
    <mergeCell ref="H33:H34"/>
    <mergeCell ref="H35:H36"/>
    <mergeCell ref="H37:H38"/>
    <mergeCell ref="H39:H40"/>
    <mergeCell ref="H31:H32"/>
    <mergeCell ref="E47:E48"/>
    <mergeCell ref="C39:C40"/>
    <mergeCell ref="H81:H82"/>
    <mergeCell ref="H83:H84"/>
    <mergeCell ref="H85:H86"/>
    <mergeCell ref="H87:H88"/>
    <mergeCell ref="H89:H90"/>
    <mergeCell ref="A7:B9"/>
    <mergeCell ref="A30:B30"/>
    <mergeCell ref="H62:H63"/>
    <mergeCell ref="H64:H65"/>
    <mergeCell ref="H66:H67"/>
    <mergeCell ref="H68:H69"/>
    <mergeCell ref="H70:H71"/>
    <mergeCell ref="H72:H73"/>
    <mergeCell ref="H76:H77"/>
    <mergeCell ref="H79:H80"/>
    <mergeCell ref="H41:H42"/>
    <mergeCell ref="H43:H44"/>
    <mergeCell ref="H45:H46"/>
    <mergeCell ref="H47:H48"/>
    <mergeCell ref="H49:H50"/>
    <mergeCell ref="H51:H52"/>
    <mergeCell ref="H53:H54"/>
    <mergeCell ref="H60:H61"/>
    <mergeCell ref="C10:C11"/>
  </mergeCells>
  <conditionalFormatting sqref="D10">
    <cfRule type="expression" dxfId="83" priority="29">
      <formula>$I$30="NG"</formula>
    </cfRule>
    <cfRule type="expression" dxfId="82" priority="30">
      <formula>$I$30="OK"</formula>
    </cfRule>
  </conditionalFormatting>
  <conditionalFormatting sqref="D31">
    <cfRule type="expression" dxfId="81" priority="48">
      <formula>$I$59="OK"</formula>
    </cfRule>
    <cfRule type="expression" dxfId="80" priority="47">
      <formula>$I$59="NG"</formula>
    </cfRule>
  </conditionalFormatting>
  <conditionalFormatting sqref="D60">
    <cfRule type="expression" dxfId="79" priority="46">
      <formula>$I$78="OK"</formula>
    </cfRule>
    <cfRule type="expression" dxfId="78" priority="45">
      <formula>$I$78="NG"</formula>
    </cfRule>
  </conditionalFormatting>
  <conditionalFormatting sqref="D79">
    <cfRule type="expression" dxfId="77" priority="44">
      <formula>$I$91="OK"</formula>
    </cfRule>
    <cfRule type="expression" dxfId="76" priority="43">
      <formula>$I$91="NG"</formula>
    </cfRule>
  </conditionalFormatting>
  <conditionalFormatting sqref="H10:H29">
    <cfRule type="cellIs" dxfId="75" priority="256" operator="equal">
      <formula>"Closed on time"</formula>
    </cfRule>
    <cfRule type="cellIs" dxfId="74" priority="255" operator="equal">
      <formula>"Closed late"</formula>
    </cfRule>
    <cfRule type="containsBlanks" dxfId="73" priority="258">
      <formula>LEN(TRIM(H10))=0</formula>
    </cfRule>
    <cfRule type="cellIs" dxfId="72" priority="254" operator="equal">
      <formula>"Ongoing"</formula>
    </cfRule>
    <cfRule type="cellIs" dxfId="71" priority="257" operator="equal">
      <formula>"NEEDS ACTION"</formula>
    </cfRule>
  </conditionalFormatting>
  <conditionalFormatting sqref="H31:H58">
    <cfRule type="cellIs" dxfId="70" priority="204" operator="equal">
      <formula>"Ongoing"</formula>
    </cfRule>
    <cfRule type="containsBlanks" dxfId="69" priority="208">
      <formula>LEN(TRIM(H31))=0</formula>
    </cfRule>
    <cfRule type="cellIs" dxfId="68" priority="207" operator="equal">
      <formula>"NEEDS ACTION"</formula>
    </cfRule>
    <cfRule type="cellIs" dxfId="67" priority="206" operator="equal">
      <formula>"Closed on time"</formula>
    </cfRule>
    <cfRule type="cellIs" dxfId="66" priority="205" operator="equal">
      <formula>"Closed late"</formula>
    </cfRule>
  </conditionalFormatting>
  <conditionalFormatting sqref="H60:H77">
    <cfRule type="cellIs" dxfId="65" priority="201" operator="equal">
      <formula>"Closed on time"</formula>
    </cfRule>
    <cfRule type="containsBlanks" dxfId="64" priority="203">
      <formula>LEN(TRIM(H60))=0</formula>
    </cfRule>
    <cfRule type="cellIs" dxfId="63" priority="202" operator="equal">
      <formula>"NEEDS ACTION"</formula>
    </cfRule>
    <cfRule type="cellIs" dxfId="62" priority="200" operator="equal">
      <formula>"Closed late"</formula>
    </cfRule>
    <cfRule type="cellIs" dxfId="61" priority="199" operator="equal">
      <formula>"Ongoing"</formula>
    </cfRule>
  </conditionalFormatting>
  <conditionalFormatting sqref="H79:H90">
    <cfRule type="cellIs" dxfId="60" priority="225" operator="equal">
      <formula>"Closed late"</formula>
    </cfRule>
    <cfRule type="cellIs" dxfId="59" priority="226" operator="equal">
      <formula>"Closed on time"</formula>
    </cfRule>
    <cfRule type="cellIs" dxfId="58" priority="227" operator="equal">
      <formula>"NEEDS ACTION"</formula>
    </cfRule>
    <cfRule type="containsBlanks" dxfId="57" priority="228">
      <formula>LEN(TRIM(H79))=0</formula>
    </cfRule>
    <cfRule type="cellIs" dxfId="56" priority="224" operator="equal">
      <formula>"Ongoing"</formula>
    </cfRule>
  </conditionalFormatting>
  <conditionalFormatting sqref="I10:J10">
    <cfRule type="cellIs" dxfId="55" priority="197" operator="equal">
      <formula>"NG"</formula>
    </cfRule>
    <cfRule type="cellIs" dxfId="54" priority="198" operator="equal">
      <formula>"OK"</formula>
    </cfRule>
  </conditionalFormatting>
  <conditionalFormatting sqref="I12:J12">
    <cfRule type="cellIs" dxfId="53" priority="195" operator="equal">
      <formula>"NG"</formula>
    </cfRule>
    <cfRule type="cellIs" dxfId="52" priority="196" operator="equal">
      <formula>"OK"</formula>
    </cfRule>
  </conditionalFormatting>
  <conditionalFormatting sqref="I14:J14">
    <cfRule type="cellIs" dxfId="51" priority="193" operator="equal">
      <formula>"NG"</formula>
    </cfRule>
    <cfRule type="cellIs" dxfId="50" priority="194" operator="equal">
      <formula>"OK"</formula>
    </cfRule>
  </conditionalFormatting>
  <conditionalFormatting sqref="I16:J16">
    <cfRule type="cellIs" dxfId="49" priority="191" operator="equal">
      <formula>"NG"</formula>
    </cfRule>
    <cfRule type="cellIs" dxfId="48" priority="192" operator="equal">
      <formula>"OK"</formula>
    </cfRule>
  </conditionalFormatting>
  <conditionalFormatting sqref="I18:J18">
    <cfRule type="cellIs" dxfId="47" priority="190" operator="equal">
      <formula>"OK"</formula>
    </cfRule>
    <cfRule type="cellIs" dxfId="46" priority="189" operator="equal">
      <formula>"NG"</formula>
    </cfRule>
  </conditionalFormatting>
  <conditionalFormatting sqref="I20:J20">
    <cfRule type="cellIs" dxfId="45" priority="28" operator="equal">
      <formula>"OK"</formula>
    </cfRule>
    <cfRule type="cellIs" dxfId="44" priority="27" operator="equal">
      <formula>"NG"</formula>
    </cfRule>
  </conditionalFormatting>
  <conditionalFormatting sqref="I22:J22">
    <cfRule type="cellIs" dxfId="43" priority="186" operator="equal">
      <formula>"OK"</formula>
    </cfRule>
    <cfRule type="cellIs" dxfId="42" priority="185" operator="equal">
      <formula>"NG"</formula>
    </cfRule>
  </conditionalFormatting>
  <conditionalFormatting sqref="I24:J24">
    <cfRule type="cellIs" dxfId="41" priority="20" operator="equal">
      <formula>"OK"</formula>
    </cfRule>
    <cfRule type="cellIs" dxfId="40" priority="19" operator="equal">
      <formula>"NG"</formula>
    </cfRule>
  </conditionalFormatting>
  <conditionalFormatting sqref="I26:J26">
    <cfRule type="cellIs" dxfId="39" priority="12" operator="equal">
      <formula>"OK"</formula>
    </cfRule>
    <cfRule type="cellIs" dxfId="38" priority="11" operator="equal">
      <formula>"NG"</formula>
    </cfRule>
  </conditionalFormatting>
  <conditionalFormatting sqref="I28:J28">
    <cfRule type="cellIs" dxfId="37" priority="16" operator="equal">
      <formula>"OK"</formula>
    </cfRule>
    <cfRule type="cellIs" dxfId="36" priority="15" operator="equal">
      <formula>"NG"</formula>
    </cfRule>
  </conditionalFormatting>
  <conditionalFormatting sqref="I30:J31">
    <cfRule type="cellIs" dxfId="35" priority="4" operator="equal">
      <formula>"OK"</formula>
    </cfRule>
    <cfRule type="cellIs" dxfId="34" priority="3" operator="equal">
      <formula>"NG"</formula>
    </cfRule>
  </conditionalFormatting>
  <conditionalFormatting sqref="I33:J33">
    <cfRule type="cellIs" dxfId="33" priority="8" operator="equal">
      <formula>"OK"</formula>
    </cfRule>
    <cfRule type="cellIs" dxfId="32" priority="7" operator="equal">
      <formula>"NG"</formula>
    </cfRule>
  </conditionalFormatting>
  <conditionalFormatting sqref="I35:J35">
    <cfRule type="cellIs" dxfId="31" priority="6" operator="equal">
      <formula>"OK"</formula>
    </cfRule>
    <cfRule type="cellIs" dxfId="30" priority="5" operator="equal">
      <formula>"NG"</formula>
    </cfRule>
  </conditionalFormatting>
  <conditionalFormatting sqref="I37:J37">
    <cfRule type="cellIs" dxfId="29" priority="22" operator="equal">
      <formula>"OK"</formula>
    </cfRule>
    <cfRule type="cellIs" dxfId="28" priority="21" operator="equal">
      <formula>"NG"</formula>
    </cfRule>
  </conditionalFormatting>
  <conditionalFormatting sqref="I39:J39 I41:J41 I45:J45 I47:J47 I49:J49 I51:J51 I53:J53 I55:J55 I57:J57">
    <cfRule type="cellIs" dxfId="27" priority="24" operator="equal">
      <formula>"OK"</formula>
    </cfRule>
    <cfRule type="cellIs" dxfId="26" priority="23" operator="equal">
      <formula>"NG"</formula>
    </cfRule>
  </conditionalFormatting>
  <conditionalFormatting sqref="I43:J43">
    <cfRule type="cellIs" dxfId="25" priority="1" operator="equal">
      <formula>"NG"</formula>
    </cfRule>
    <cfRule type="cellIs" dxfId="24" priority="2" operator="equal">
      <formula>"OK"</formula>
    </cfRule>
  </conditionalFormatting>
  <conditionalFormatting sqref="I59:J60">
    <cfRule type="cellIs" dxfId="23" priority="42" operator="equal">
      <formula>"OK"</formula>
    </cfRule>
    <cfRule type="cellIs" dxfId="22" priority="41" operator="equal">
      <formula>"NG"</formula>
    </cfRule>
  </conditionalFormatting>
  <conditionalFormatting sqref="I62:J62 I64:J64 I66:J66 I68:J68 I70:J70 I72:J72 I74:J74 I76:J76">
    <cfRule type="cellIs" dxfId="21" priority="77" operator="equal">
      <formula>"NG"</formula>
    </cfRule>
    <cfRule type="cellIs" dxfId="20" priority="78" operator="equal">
      <formula>"OK"</formula>
    </cfRule>
  </conditionalFormatting>
  <conditionalFormatting sqref="I78:J79">
    <cfRule type="cellIs" dxfId="19" priority="72" operator="equal">
      <formula>"OK"</formula>
    </cfRule>
    <cfRule type="cellIs" dxfId="18" priority="71" operator="equal">
      <formula>"NG"</formula>
    </cfRule>
  </conditionalFormatting>
  <conditionalFormatting sqref="I81:J81 I83:J83 I85:J85 I87:J87">
    <cfRule type="cellIs" dxfId="17" priority="52" operator="equal">
      <formula>"OK"</formula>
    </cfRule>
    <cfRule type="cellIs" dxfId="16" priority="51" operator="equal">
      <formula>"NG"</formula>
    </cfRule>
  </conditionalFormatting>
  <conditionalFormatting sqref="I89:J89">
    <cfRule type="cellIs" dxfId="15" priority="40" operator="equal">
      <formula>"OK"</formula>
    </cfRule>
    <cfRule type="cellIs" dxfId="14" priority="39" operator="equal">
      <formula>"NG"</formula>
    </cfRule>
  </conditionalFormatting>
  <conditionalFormatting sqref="I91:J91">
    <cfRule type="cellIs" dxfId="13" priority="36" operator="equal">
      <formula>"OK"</formula>
    </cfRule>
    <cfRule type="cellIs" dxfId="12" priority="35" operator="equal">
      <formula>"NG"</formula>
    </cfRule>
  </conditionalFormatting>
  <hyperlinks>
    <hyperlink ref="E33" location="'01'!A1" display="01.- Especificaciones de empaque" xr:uid="{00000000-0004-0000-0100-000000000000}"/>
    <hyperlink ref="E35" location="'02'!A1" display="02.-Cambios en el SGC para fabricar el producto" xr:uid="{00000000-0004-0000-0100-000001000000}"/>
    <hyperlink ref="E37" location="'03'!A1" display="03.-Process Flow Chart" xr:uid="{00000000-0004-0000-0100-000002000000}"/>
    <hyperlink ref="E39" location="'04'!A1" display="04.-Floor plan layout" xr:uid="{00000000-0004-0000-0100-000003000000}"/>
    <hyperlink ref="E41" location="'05'!A1" display="05.-Characteristic Matrix" xr:uid="{00000000-0004-0000-0100-000004000000}"/>
    <hyperlink ref="E43" location="'06'!A1" display="0.6- PFMEA" xr:uid="{00000000-0004-0000-0100-000005000000}"/>
    <hyperlink ref="E45" location="'07'!A1" display="0.7-Control Plan Pre-launch" xr:uid="{00000000-0004-0000-0100-000006000000}"/>
    <hyperlink ref="E47" location="'08'!A1" display="0.8- WI" xr:uid="{00000000-0004-0000-0100-000007000000}"/>
    <hyperlink ref="E49" location="'09'!A1" display="0.9- MSA Plan" xr:uid="{00000000-0004-0000-0100-000008000000}"/>
    <hyperlink ref="E51" location="'10'!A1" display="10.-SPC Plan" xr:uid="{00000000-0004-0000-0100-000009000000}"/>
    <hyperlink ref="E53" location="'11'!A1" display="11.- Minutas Juntas" xr:uid="{00000000-0004-0000-0100-00000A000000}"/>
    <hyperlink ref="E60" location="'12'!A1" display="12.- Pilot Run" xr:uid="{00000000-0004-0000-0100-00000B000000}"/>
    <hyperlink ref="E62" location="'13'!A1" display="13.- MSA" xr:uid="{00000000-0004-0000-0100-00000C000000}"/>
    <hyperlink ref="E64" location="'14'!A1" display="14.-Preliminary SPC" xr:uid="{00000000-0004-0000-0100-00000D000000}"/>
    <hyperlink ref="E66" location="'15'!A1" display="15.- PPAP" xr:uid="{00000000-0004-0000-0100-00000E000000}"/>
    <hyperlink ref="E68" location="'16'!A1" display="16.-Production Validation Testing" xr:uid="{00000000-0004-0000-0100-00000F000000}"/>
    <hyperlink ref="E70" location="'17'!A1" display="17.-Packaging evaluation" xr:uid="{00000000-0004-0000-0100-000010000000}"/>
    <hyperlink ref="E72" location="'18'!A1" display="18.-Production Control Plan" xr:uid="{00000000-0004-0000-0100-000011000000}"/>
    <hyperlink ref="E76" location="'19'!A1" display="19.- Sign-OFF" xr:uid="{00000000-0004-0000-0100-000012000000}"/>
    <hyperlink ref="E79" location="'20'!A1" display="20.-Reduced Variation" xr:uid="{00000000-0004-0000-0100-000013000000}"/>
    <hyperlink ref="E81" location="'21'!A1" display="21.-Improve customer satisfaction" xr:uid="{00000000-0004-0000-0100-000014000000}"/>
    <hyperlink ref="E83" location="'22'!A1" display="22.- Improved delivery and service" xr:uid="{00000000-0004-0000-0100-000015000000}"/>
    <hyperlink ref="E85" location="'23'!A1" display="23.- Effective use of Lesson Learned/Best practice" xr:uid="{00000000-0004-0000-0100-000016000000}"/>
    <hyperlink ref="E87:E88" location="'25'!A1" display="25.- Entrega formal de proyecto a producción / Formal project delivery to production:" xr:uid="{00000000-0004-0000-0100-000017000000}"/>
    <hyperlink ref="E31" location="'01'!A1" display="01.- Especificaciones de empaque" xr:uid="{00000000-0004-0000-0100-000018000000}"/>
    <hyperlink ref="E31:E32" location="'00'!A1" display="00.- Checklist de inspección de entrada / Incoming Inspection Checklist" xr:uid="{00000000-0004-0000-0100-000019000000}"/>
    <hyperlink ref="E55" location="'11'!A1" display="11.- Minutas Juntas" xr:uid="{00000000-0004-0000-0100-00001A000000}"/>
    <hyperlink ref="E55:E56" location="'12'!A1" display="12.- Reclamos de cliente / Customer concerns." xr:uid="{00000000-0004-0000-0100-00001B000000}"/>
    <hyperlink ref="E79:E80" location="'21'!A1" display="21.- Reducción de variación / Reduced Variation:" xr:uid="{00000000-0004-0000-0100-00001C000000}"/>
    <hyperlink ref="E81:E82" location="'22'!A1" display="22.- Mejora en satisfacción del cliente / Improve customer satisfaction:" xr:uid="{00000000-0004-0000-0100-00001D000000}"/>
    <hyperlink ref="E83:E84" location="'23'!A1" display="23.- Mejora de envíos y servicio / Improved delivery and service:" xr:uid="{00000000-0004-0000-0100-00001E000000}"/>
    <hyperlink ref="E85:E86" location="'24'!A1" display="24.- Uso efectivo de lecciones aprendidas/Mejores prácticas / Effective use of Lesson Learned/Best practice" xr:uid="{00000000-0004-0000-0100-00001F000000}"/>
    <hyperlink ref="E68:E69" location="'17'!A1" display="17.- Prueba de Validación de Producción / Production Validation Testing:" xr:uid="{00000000-0004-0000-0100-000020000000}"/>
    <hyperlink ref="E74" location="'04'!A1" display="04.-Floor plan layout" xr:uid="{00000000-0004-0000-0100-000021000000}"/>
    <hyperlink ref="E57:E58" location="'Stage 3'!A1" display="Revisión de etapa (línea en México) / Stage Revision (line in Mexico):" xr:uid="{00000000-0004-0000-0100-000022000000}"/>
  </hyperlinks>
  <pageMargins left="0.17" right="0.3" top="0.31" bottom="0.27" header="0.22" footer="0.16"/>
  <pageSetup paperSize="3" scale="36" fitToHeight="0" orientation="portrait" r:id="rId3"/>
  <headerFooter alignWithMargins="0">
    <oddHeader xml:space="preserve">&amp;L
&amp;C
</oddHeader>
    <oddFooter>&amp;RF7100 Rev. 20/10/2020</oddFooter>
  </headerFooter>
  <drawing r:id="rId4"/>
  <legacyDrawing r:id="rId5"/>
  <oleObjects>
    <mc:AlternateContent xmlns:mc="http://schemas.openxmlformats.org/markup-compatibility/2006">
      <mc:Choice Requires="x14">
        <oleObject progId="Worksheet" dvAspect="DVASPECT_ICON" shapeId="2049" r:id="rId6">
          <objectPr defaultSize="0" autoPict="0" r:id="rId7">
            <anchor moveWithCells="1">
              <from>
                <xdr:col>0</xdr:col>
                <xdr:colOff>152400</xdr:colOff>
                <xdr:row>10</xdr:row>
                <xdr:rowOff>19050</xdr:rowOff>
              </from>
              <to>
                <xdr:col>1</xdr:col>
                <xdr:colOff>469900</xdr:colOff>
                <xdr:row>15</xdr:row>
                <xdr:rowOff>50800</xdr:rowOff>
              </to>
            </anchor>
          </objectPr>
        </oleObject>
      </mc:Choice>
      <mc:Fallback>
        <oleObject progId="Worksheet" dvAspect="DVASPECT_ICON" shapeId="2049" r:id="rId6"/>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8"/>
  <dimension ref="A1:D55"/>
  <sheetViews>
    <sheetView topLeftCell="A23" zoomScale="65" workbookViewId="0">
      <selection activeCell="D35" sqref="D35"/>
    </sheetView>
  </sheetViews>
  <sheetFormatPr defaultColWidth="9.1796875" defaultRowHeight="14.5"/>
  <cols>
    <col min="1" max="1" width="32" customWidth="1"/>
    <col min="2" max="3" width="22.7265625" customWidth="1"/>
    <col min="4" max="4" width="43.453125" style="98" customWidth="1"/>
    <col min="6" max="6" width="10.81640625" customWidth="1"/>
    <col min="7" max="7" width="20.54296875" customWidth="1"/>
  </cols>
  <sheetData>
    <row r="1" spans="1:4" ht="15.5">
      <c r="C1" s="44" t="s">
        <v>285</v>
      </c>
      <c r="D1" s="76" t="s">
        <v>362</v>
      </c>
    </row>
    <row r="2" spans="1:4" ht="15.5">
      <c r="C2" s="80" t="s">
        <v>340</v>
      </c>
      <c r="D2" s="97" t="s">
        <v>338</v>
      </c>
    </row>
    <row r="3" spans="1:4" ht="15.5">
      <c r="C3" s="80" t="s">
        <v>341</v>
      </c>
      <c r="D3" s="97" t="s">
        <v>339</v>
      </c>
    </row>
    <row r="4" spans="1:4" ht="15.5">
      <c r="A4" s="44" t="s">
        <v>289</v>
      </c>
      <c r="B4" s="44" t="s">
        <v>359</v>
      </c>
      <c r="C4" s="80" t="s">
        <v>343</v>
      </c>
      <c r="D4" s="97" t="s">
        <v>342</v>
      </c>
    </row>
    <row r="5" spans="1:4" ht="15.5">
      <c r="B5" s="44" t="s">
        <v>360</v>
      </c>
      <c r="C5" s="80" t="s">
        <v>343</v>
      </c>
      <c r="D5" s="97" t="s">
        <v>342</v>
      </c>
    </row>
    <row r="6" spans="1:4" ht="15.5">
      <c r="B6" s="44" t="s">
        <v>361</v>
      </c>
      <c r="C6" s="80" t="s">
        <v>343</v>
      </c>
      <c r="D6" s="97" t="s">
        <v>342</v>
      </c>
    </row>
    <row r="7" spans="1:4" ht="15.5">
      <c r="B7" s="44" t="s">
        <v>344</v>
      </c>
      <c r="C7" s="80" t="s">
        <v>345</v>
      </c>
      <c r="D7" s="97" t="s">
        <v>346</v>
      </c>
    </row>
    <row r="8" spans="1:4" ht="15.5">
      <c r="B8" s="44" t="s">
        <v>370</v>
      </c>
      <c r="C8" s="80" t="s">
        <v>372</v>
      </c>
      <c r="D8" s="97" t="s">
        <v>373</v>
      </c>
    </row>
    <row r="9" spans="1:4" ht="15.5">
      <c r="B9" s="44" t="s">
        <v>371</v>
      </c>
      <c r="C9" s="80" t="s">
        <v>372</v>
      </c>
      <c r="D9" s="97" t="s">
        <v>373</v>
      </c>
    </row>
    <row r="10" spans="1:4" ht="15.5">
      <c r="B10" s="44" t="s">
        <v>347</v>
      </c>
      <c r="C10" s="80"/>
      <c r="D10" s="97"/>
    </row>
    <row r="11" spans="1:4" ht="15.5">
      <c r="B11" s="44" t="s">
        <v>374</v>
      </c>
      <c r="C11" s="80" t="s">
        <v>375</v>
      </c>
      <c r="D11" s="97" t="s">
        <v>376</v>
      </c>
    </row>
    <row r="12" spans="1:4" ht="15.5">
      <c r="B12" s="44" t="s">
        <v>348</v>
      </c>
      <c r="C12" s="80" t="s">
        <v>368</v>
      </c>
      <c r="D12" s="97" t="s">
        <v>369</v>
      </c>
    </row>
    <row r="13" spans="1:4" ht="15.5">
      <c r="B13" s="44" t="s">
        <v>351</v>
      </c>
      <c r="C13" s="80" t="s">
        <v>349</v>
      </c>
      <c r="D13" s="97" t="s">
        <v>350</v>
      </c>
    </row>
    <row r="14" spans="1:4" ht="15.5">
      <c r="A14" s="44" t="s">
        <v>290</v>
      </c>
      <c r="B14" s="44" t="s">
        <v>359</v>
      </c>
      <c r="C14" s="80" t="s">
        <v>352</v>
      </c>
      <c r="D14" s="97" t="s">
        <v>353</v>
      </c>
    </row>
    <row r="15" spans="1:4" ht="15.5">
      <c r="B15" s="44" t="s">
        <v>360</v>
      </c>
      <c r="C15" s="80" t="s">
        <v>624</v>
      </c>
      <c r="D15" s="97" t="s">
        <v>625</v>
      </c>
    </row>
    <row r="16" spans="1:4" ht="15.5">
      <c r="B16" s="44" t="s">
        <v>361</v>
      </c>
      <c r="C16" s="80" t="s">
        <v>354</v>
      </c>
      <c r="D16" s="97" t="s">
        <v>650</v>
      </c>
    </row>
    <row r="17" spans="1:4" ht="15.5">
      <c r="B17" s="44" t="s">
        <v>344</v>
      </c>
      <c r="C17" s="80" t="s">
        <v>352</v>
      </c>
      <c r="D17" s="97" t="s">
        <v>353</v>
      </c>
    </row>
    <row r="18" spans="1:4" ht="15.5">
      <c r="B18" s="44" t="s">
        <v>347</v>
      </c>
      <c r="C18" s="80"/>
      <c r="D18" s="97"/>
    </row>
    <row r="19" spans="1:4" ht="15.5">
      <c r="B19" s="44" t="s">
        <v>370</v>
      </c>
      <c r="C19" s="80" t="s">
        <v>352</v>
      </c>
      <c r="D19" s="97" t="s">
        <v>353</v>
      </c>
    </row>
    <row r="20" spans="1:4" ht="15.5">
      <c r="B20" s="44" t="s">
        <v>371</v>
      </c>
      <c r="C20" s="80" t="s">
        <v>352</v>
      </c>
      <c r="D20" s="97" t="s">
        <v>353</v>
      </c>
    </row>
    <row r="21" spans="1:4" ht="15.5">
      <c r="B21" s="44" t="s">
        <v>374</v>
      </c>
      <c r="C21" s="80" t="s">
        <v>354</v>
      </c>
      <c r="D21" s="97" t="s">
        <v>355</v>
      </c>
    </row>
    <row r="22" spans="1:4" ht="15.5">
      <c r="B22" s="44" t="s">
        <v>348</v>
      </c>
      <c r="C22" s="80" t="s">
        <v>354</v>
      </c>
      <c r="D22" s="97" t="s">
        <v>355</v>
      </c>
    </row>
    <row r="23" spans="1:4" ht="15.5">
      <c r="B23" s="44" t="s">
        <v>351</v>
      </c>
      <c r="C23" s="80" t="s">
        <v>356</v>
      </c>
      <c r="D23" s="97" t="s">
        <v>357</v>
      </c>
    </row>
    <row r="24" spans="1:4" ht="15.5">
      <c r="A24" s="134" t="s">
        <v>404</v>
      </c>
      <c r="B24" s="44"/>
      <c r="C24" s="80" t="s">
        <v>626</v>
      </c>
      <c r="D24" s="97" t="s">
        <v>627</v>
      </c>
    </row>
    <row r="25" spans="1:4" ht="15.5">
      <c r="A25" s="125"/>
      <c r="B25" s="44"/>
      <c r="C25" s="80" t="s">
        <v>626</v>
      </c>
      <c r="D25" s="97" t="s">
        <v>627</v>
      </c>
    </row>
    <row r="26" spans="1:4" ht="15.5">
      <c r="A26" s="134" t="s">
        <v>406</v>
      </c>
      <c r="B26" s="44"/>
      <c r="C26" s="80" t="s">
        <v>651</v>
      </c>
      <c r="D26" s="97" t="s">
        <v>652</v>
      </c>
    </row>
    <row r="27" spans="1:4" ht="16" thickBot="1">
      <c r="A27" s="125"/>
      <c r="B27" s="44"/>
      <c r="C27" s="80" t="s">
        <v>651</v>
      </c>
      <c r="D27" s="97" t="s">
        <v>652</v>
      </c>
    </row>
    <row r="28" spans="1:4" ht="15.5">
      <c r="A28" s="112" t="s">
        <v>291</v>
      </c>
      <c r="B28" s="113"/>
      <c r="C28" s="106" t="s">
        <v>329</v>
      </c>
      <c r="D28" s="107" t="s">
        <v>333</v>
      </c>
    </row>
    <row r="29" spans="1:4" ht="15.5">
      <c r="A29" s="108" t="s">
        <v>293</v>
      </c>
      <c r="C29" s="80" t="s">
        <v>397</v>
      </c>
      <c r="D29" s="109" t="s">
        <v>398</v>
      </c>
    </row>
    <row r="30" spans="1:4" ht="15.5">
      <c r="A30" s="108" t="s">
        <v>294</v>
      </c>
      <c r="C30" s="80" t="s">
        <v>386</v>
      </c>
      <c r="D30" s="109" t="s">
        <v>387</v>
      </c>
    </row>
    <row r="31" spans="1:4" ht="16" thickBot="1">
      <c r="A31" s="110" t="s">
        <v>295</v>
      </c>
      <c r="B31" s="111"/>
      <c r="C31" s="111" t="s">
        <v>399</v>
      </c>
      <c r="D31" s="119" t="s">
        <v>400</v>
      </c>
    </row>
    <row r="32" spans="1:4" ht="15.5">
      <c r="A32" s="134" t="s">
        <v>407</v>
      </c>
      <c r="C32" s="80" t="s">
        <v>651</v>
      </c>
      <c r="D32" s="97" t="s">
        <v>652</v>
      </c>
    </row>
    <row r="33" spans="1:4" ht="15.5">
      <c r="A33" s="138" t="s">
        <v>472</v>
      </c>
      <c r="C33" s="80" t="s">
        <v>612</v>
      </c>
      <c r="D33" s="203" t="s">
        <v>613</v>
      </c>
    </row>
    <row r="34" spans="1:4" ht="15.5">
      <c r="A34" s="138" t="s">
        <v>610</v>
      </c>
      <c r="C34" s="80" t="s">
        <v>614</v>
      </c>
      <c r="D34" s="203" t="s">
        <v>615</v>
      </c>
    </row>
    <row r="35" spans="1:4" ht="15.5">
      <c r="A35" s="138"/>
      <c r="C35" s="80" t="s">
        <v>628</v>
      </c>
      <c r="D35" s="203" t="s">
        <v>629</v>
      </c>
    </row>
    <row r="36" spans="1:4" ht="15.5">
      <c r="A36" s="138" t="s">
        <v>611</v>
      </c>
      <c r="C36" s="80" t="s">
        <v>616</v>
      </c>
      <c r="D36" s="97" t="s">
        <v>405</v>
      </c>
    </row>
    <row r="37" spans="1:4" ht="15.5">
      <c r="A37" s="138" t="s">
        <v>611</v>
      </c>
      <c r="C37" s="80" t="s">
        <v>630</v>
      </c>
      <c r="D37" s="97" t="s">
        <v>631</v>
      </c>
    </row>
    <row r="41" spans="1:4" ht="15.5">
      <c r="A41" s="81" t="s">
        <v>324</v>
      </c>
      <c r="B41" s="82" t="s">
        <v>332</v>
      </c>
    </row>
    <row r="42" spans="1:4" ht="15.5">
      <c r="A42" s="81" t="s">
        <v>325</v>
      </c>
      <c r="B42" s="82" t="s">
        <v>326</v>
      </c>
    </row>
    <row r="43" spans="1:4" ht="15.5">
      <c r="A43" s="81" t="s">
        <v>327</v>
      </c>
      <c r="B43" s="82" t="s">
        <v>328</v>
      </c>
    </row>
    <row r="44" spans="1:4" ht="15.5">
      <c r="A44" s="81" t="s">
        <v>391</v>
      </c>
      <c r="B44" s="82" t="s">
        <v>392</v>
      </c>
    </row>
    <row r="45" spans="1:4" ht="15.5">
      <c r="A45" s="81" t="s">
        <v>380</v>
      </c>
      <c r="B45" s="82" t="s">
        <v>381</v>
      </c>
    </row>
    <row r="46" spans="1:4" ht="15.5">
      <c r="A46" s="81" t="s">
        <v>330</v>
      </c>
      <c r="B46" s="82" t="s">
        <v>331</v>
      </c>
    </row>
    <row r="50" spans="1:2" ht="15.5">
      <c r="A50" s="81" t="s">
        <v>336</v>
      </c>
      <c r="B50" s="82" t="s">
        <v>337</v>
      </c>
    </row>
    <row r="51" spans="1:2" ht="15.5">
      <c r="A51" s="81" t="s">
        <v>325</v>
      </c>
      <c r="B51" s="82" t="s">
        <v>326</v>
      </c>
    </row>
    <row r="52" spans="1:2" ht="15.5">
      <c r="A52" s="81" t="s">
        <v>327</v>
      </c>
      <c r="B52" s="82" t="s">
        <v>328</v>
      </c>
    </row>
    <row r="53" spans="1:2" ht="15.5">
      <c r="A53" s="81" t="s">
        <v>391</v>
      </c>
      <c r="B53" s="82" t="s">
        <v>392</v>
      </c>
    </row>
    <row r="54" spans="1:2" ht="15.5">
      <c r="A54" s="81" t="s">
        <v>380</v>
      </c>
      <c r="B54" s="82" t="s">
        <v>381</v>
      </c>
    </row>
    <row r="55" spans="1:2" ht="15.5">
      <c r="A55" s="81" t="s">
        <v>330</v>
      </c>
      <c r="B55" s="82" t="s">
        <v>331</v>
      </c>
    </row>
  </sheetData>
  <customSheetViews>
    <customSheetView guid="{0D2B2804-9719-4CF5-836A-6C18EF806972}" scale="65">
      <selection activeCell="F15" sqref="F15"/>
      <pageMargins left="0.7" right="0.7" top="0.75" bottom="0.75" header="0.3" footer="0.3"/>
      <pageSetup orientation="portrait" horizontalDpi="300" verticalDpi="300" r:id="rId1"/>
    </customSheetView>
    <customSheetView guid="{F51EB4BE-1505-43EE-8F62-937E5A5046CB}" scale="65">
      <pageMargins left="0.7" right="0.7" top="0.75" bottom="0.75" header="0.3" footer="0.3"/>
      <pageSetup orientation="portrait" horizontalDpi="300" verticalDpi="300" r:id="rId2"/>
    </customSheetView>
  </customSheetViews>
  <hyperlinks>
    <hyperlink ref="D2" r:id="rId3" xr:uid="{00000000-0004-0000-0300-000000000000}"/>
    <hyperlink ref="D3" r:id="rId4" xr:uid="{00000000-0004-0000-0300-000001000000}"/>
    <hyperlink ref="D4" r:id="rId5" xr:uid="{00000000-0004-0000-0300-000002000000}"/>
    <hyperlink ref="D7" r:id="rId6" xr:uid="{00000000-0004-0000-0300-000003000000}"/>
    <hyperlink ref="D12" r:id="rId7" xr:uid="{00000000-0004-0000-0300-000004000000}"/>
    <hyperlink ref="D13" r:id="rId8" xr:uid="{00000000-0004-0000-0300-000005000000}"/>
    <hyperlink ref="D16" r:id="rId9" xr:uid="{00000000-0004-0000-0300-000006000000}"/>
    <hyperlink ref="D17" r:id="rId10" xr:uid="{00000000-0004-0000-0300-000007000000}"/>
    <hyperlink ref="D22" r:id="rId11" xr:uid="{00000000-0004-0000-0300-000008000000}"/>
    <hyperlink ref="D23" r:id="rId12" xr:uid="{00000000-0004-0000-0300-000009000000}"/>
    <hyperlink ref="B50" r:id="rId13" xr:uid="{00000000-0004-0000-0300-00000A000000}"/>
    <hyperlink ref="D8" r:id="rId14" xr:uid="{00000000-0004-0000-0300-00000B000000}"/>
    <hyperlink ref="D9" r:id="rId15" xr:uid="{00000000-0004-0000-0300-00000C000000}"/>
    <hyperlink ref="D20" r:id="rId16" xr:uid="{00000000-0004-0000-0300-00000D000000}"/>
    <hyperlink ref="D11" r:id="rId17" xr:uid="{00000000-0004-0000-0300-00000E000000}"/>
    <hyperlink ref="D21" r:id="rId18" xr:uid="{00000000-0004-0000-0300-00000F000000}"/>
    <hyperlink ref="B45" r:id="rId19" xr:uid="{00000000-0004-0000-0300-000010000000}"/>
    <hyperlink ref="B44" r:id="rId20" xr:uid="{00000000-0004-0000-0300-000011000000}"/>
    <hyperlink ref="B53" r:id="rId21" xr:uid="{00000000-0004-0000-0300-000012000000}"/>
    <hyperlink ref="D28" r:id="rId22" xr:uid="{00000000-0004-0000-0300-000013000000}"/>
    <hyperlink ref="D30" r:id="rId23" xr:uid="{00000000-0004-0000-0300-000014000000}"/>
    <hyperlink ref="B54" r:id="rId24" xr:uid="{00000000-0004-0000-0300-000015000000}"/>
    <hyperlink ref="D29" r:id="rId25" xr:uid="{00000000-0004-0000-0300-000016000000}"/>
    <hyperlink ref="D31" r:id="rId26" xr:uid="{00000000-0004-0000-0300-000017000000}"/>
    <hyperlink ref="D25" r:id="rId27" xr:uid="{00000000-0004-0000-0300-000018000000}"/>
    <hyperlink ref="D26" r:id="rId28" xr:uid="{00000000-0004-0000-0300-000019000000}"/>
    <hyperlink ref="D33" r:id="rId29" xr:uid="{00000000-0004-0000-0300-00001A000000}"/>
    <hyperlink ref="D34" r:id="rId30" xr:uid="{00000000-0004-0000-0300-00001B000000}"/>
    <hyperlink ref="D36" r:id="rId31" xr:uid="{00000000-0004-0000-0300-00001C000000}"/>
    <hyperlink ref="D5" r:id="rId32" xr:uid="{00000000-0004-0000-0300-00001D000000}"/>
    <hyperlink ref="D6" r:id="rId33" xr:uid="{00000000-0004-0000-0300-00001E000000}"/>
    <hyperlink ref="D14" r:id="rId34" xr:uid="{00000000-0004-0000-0300-00001F000000}"/>
    <hyperlink ref="D15" r:id="rId35" xr:uid="{00000000-0004-0000-0300-000020000000}"/>
    <hyperlink ref="D35" r:id="rId36" xr:uid="{00000000-0004-0000-0300-000021000000}"/>
    <hyperlink ref="D37" r:id="rId37" xr:uid="{00000000-0004-0000-0300-000022000000}"/>
    <hyperlink ref="D19" r:id="rId38" xr:uid="{00000000-0004-0000-0300-000023000000}"/>
    <hyperlink ref="D24" r:id="rId39" xr:uid="{00000000-0004-0000-0300-000024000000}"/>
    <hyperlink ref="D27" r:id="rId40" xr:uid="{00000000-0004-0000-0300-000025000000}"/>
    <hyperlink ref="D32" r:id="rId41" xr:uid="{00000000-0004-0000-0300-000026000000}"/>
  </hyperlinks>
  <pageMargins left="0.7" right="0.7" top="0.75" bottom="0.75" header="0.3" footer="0.3"/>
  <pageSetup orientation="portrait" horizontalDpi="300" verticalDpi="300" r:id="rId4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tabColor theme="8" tint="0.79998168889431442"/>
    <pageSetUpPr fitToPage="1"/>
  </sheetPr>
  <dimension ref="A1:J29"/>
  <sheetViews>
    <sheetView zoomScaleNormal="100" zoomScaleSheetLayoutView="92" zoomScalePageLayoutView="55" workbookViewId="0">
      <selection activeCell="D7" sqref="D7"/>
    </sheetView>
  </sheetViews>
  <sheetFormatPr defaultColWidth="9.1796875" defaultRowHeight="14.5"/>
  <cols>
    <col min="1" max="1" width="9.1796875" style="16"/>
    <col min="2" max="2" width="57.1796875" style="16" customWidth="1"/>
    <col min="3" max="5" width="9.1796875" style="16"/>
    <col min="6" max="6" width="28.7265625" style="20" bestFit="1" customWidth="1"/>
    <col min="7" max="7" width="24.1796875" style="16" customWidth="1"/>
    <col min="8" max="8" width="10.7265625" style="16" bestFit="1" customWidth="1"/>
    <col min="9" max="9" width="9.1796875" style="16"/>
    <col min="10" max="10" width="9.453125" style="16" customWidth="1"/>
    <col min="11" max="16384" width="9.1796875" style="16"/>
  </cols>
  <sheetData>
    <row r="1" spans="1:10" ht="45.75" customHeight="1">
      <c r="A1" s="8"/>
      <c r="B1" s="320" t="e">
        <f>+#REF!</f>
        <v>#REF!</v>
      </c>
      <c r="C1" s="320"/>
      <c r="D1" s="320"/>
      <c r="E1" s="323" t="s">
        <v>335</v>
      </c>
      <c r="F1" s="323"/>
      <c r="G1" s="323"/>
      <c r="H1" s="323"/>
      <c r="I1" s="15"/>
      <c r="J1" s="15"/>
    </row>
    <row r="2" spans="1:10" ht="33.75" customHeight="1">
      <c r="A2" s="157"/>
      <c r="B2" s="158" t="s">
        <v>61</v>
      </c>
      <c r="C2" s="158" t="s">
        <v>58</v>
      </c>
      <c r="D2" s="158" t="s">
        <v>0</v>
      </c>
      <c r="E2" s="158" t="s">
        <v>1</v>
      </c>
      <c r="F2" s="158" t="s">
        <v>57</v>
      </c>
      <c r="G2" s="158" t="s">
        <v>59</v>
      </c>
      <c r="H2" s="158" t="s">
        <v>60</v>
      </c>
      <c r="I2" s="15"/>
      <c r="J2" s="15"/>
    </row>
    <row r="3" spans="1:10">
      <c r="A3" s="319" t="s">
        <v>430</v>
      </c>
      <c r="B3" s="319"/>
      <c r="C3" s="319"/>
      <c r="D3" s="319"/>
      <c r="E3" s="319"/>
      <c r="F3" s="319"/>
      <c r="G3" s="319"/>
      <c r="H3" s="319"/>
      <c r="I3" s="15"/>
      <c r="J3" s="15"/>
    </row>
    <row r="4" spans="1:10" ht="33" customHeight="1">
      <c r="A4" s="100">
        <v>1</v>
      </c>
      <c r="B4" s="161" t="s">
        <v>432</v>
      </c>
      <c r="C4" s="102" t="s">
        <v>22</v>
      </c>
      <c r="D4" s="102"/>
      <c r="E4" s="103"/>
      <c r="F4" s="212"/>
      <c r="G4" s="11" t="str">
        <f>+'Portada '!$A$15</f>
        <v>Ingeniero de Proyectos / Project Engineer</v>
      </c>
      <c r="H4" s="159"/>
      <c r="I4" s="15"/>
      <c r="J4" s="15"/>
    </row>
    <row r="5" spans="1:10" ht="33" customHeight="1">
      <c r="A5" s="100">
        <v>2</v>
      </c>
      <c r="B5" s="161" t="s">
        <v>441</v>
      </c>
      <c r="C5" s="102" t="s">
        <v>22</v>
      </c>
      <c r="D5" s="102"/>
      <c r="E5" s="103"/>
      <c r="F5" s="212"/>
      <c r="G5" s="11" t="s">
        <v>621</v>
      </c>
      <c r="H5" s="159"/>
      <c r="I5" s="15"/>
      <c r="J5" s="15"/>
    </row>
    <row r="6" spans="1:10" ht="33" customHeight="1">
      <c r="A6" s="100">
        <v>3</v>
      </c>
      <c r="B6" s="161" t="s">
        <v>444</v>
      </c>
      <c r="C6" s="102" t="s">
        <v>22</v>
      </c>
      <c r="D6" s="102"/>
      <c r="E6" s="103"/>
      <c r="F6" s="212"/>
      <c r="G6" s="11" t="s">
        <v>621</v>
      </c>
      <c r="H6" s="159"/>
      <c r="I6" s="15"/>
      <c r="J6" s="15"/>
    </row>
    <row r="7" spans="1:10" ht="33" customHeight="1">
      <c r="A7" s="100">
        <v>4</v>
      </c>
      <c r="B7" s="161" t="s">
        <v>445</v>
      </c>
      <c r="C7" s="102"/>
      <c r="D7" s="102" t="s">
        <v>22</v>
      </c>
      <c r="E7" s="103"/>
      <c r="F7" s="212" t="s">
        <v>699</v>
      </c>
      <c r="G7" s="11" t="s">
        <v>621</v>
      </c>
      <c r="H7" s="159"/>
      <c r="I7" s="15"/>
      <c r="J7" s="15"/>
    </row>
    <row r="8" spans="1:10" ht="33" customHeight="1">
      <c r="A8" s="100">
        <v>5</v>
      </c>
      <c r="B8" s="161" t="s">
        <v>605</v>
      </c>
      <c r="C8" s="102" t="s">
        <v>22</v>
      </c>
      <c r="D8" s="102"/>
      <c r="E8" s="103"/>
      <c r="F8" s="212" t="s">
        <v>700</v>
      </c>
      <c r="G8" s="11" t="s">
        <v>13</v>
      </c>
      <c r="H8" s="159"/>
      <c r="I8" s="15"/>
      <c r="J8" s="15"/>
    </row>
    <row r="9" spans="1:10" ht="33" customHeight="1">
      <c r="A9" s="100">
        <v>6</v>
      </c>
      <c r="B9" s="161" t="s">
        <v>442</v>
      </c>
      <c r="C9" s="102"/>
      <c r="D9" s="102" t="s">
        <v>22</v>
      </c>
      <c r="E9" s="103"/>
      <c r="F9" s="212" t="s">
        <v>701</v>
      </c>
      <c r="G9" s="11" t="str">
        <f>+'Portada '!$A$15</f>
        <v>Ingeniero de Proyectos / Project Engineer</v>
      </c>
      <c r="H9" s="159"/>
      <c r="I9" s="15"/>
      <c r="J9" s="15"/>
    </row>
    <row r="10" spans="1:10" ht="33" customHeight="1">
      <c r="A10" s="100">
        <v>7</v>
      </c>
      <c r="B10" s="161" t="s">
        <v>446</v>
      </c>
      <c r="C10" s="102"/>
      <c r="D10" s="102"/>
      <c r="E10" s="103"/>
      <c r="F10" s="212"/>
      <c r="G10" s="11" t="s">
        <v>13</v>
      </c>
      <c r="H10" s="159"/>
      <c r="I10" s="15"/>
      <c r="J10" s="15"/>
    </row>
    <row r="11" spans="1:10" ht="33" customHeight="1">
      <c r="A11" s="100">
        <v>8</v>
      </c>
      <c r="B11" s="161" t="s">
        <v>447</v>
      </c>
      <c r="C11" s="102" t="s">
        <v>22</v>
      </c>
      <c r="D11" s="102"/>
      <c r="E11" s="103"/>
      <c r="F11" s="212" t="s">
        <v>702</v>
      </c>
      <c r="G11" s="11" t="str">
        <f>+'Portada '!$A$15</f>
        <v>Ingeniero de Proyectos / Project Engineer</v>
      </c>
      <c r="H11" s="159"/>
      <c r="I11" s="15"/>
      <c r="J11" s="15"/>
    </row>
    <row r="12" spans="1:10" ht="33" customHeight="1">
      <c r="A12" s="100">
        <v>9</v>
      </c>
      <c r="B12" s="161" t="s">
        <v>433</v>
      </c>
      <c r="C12" s="102" t="s">
        <v>22</v>
      </c>
      <c r="D12" s="102"/>
      <c r="E12" s="103"/>
      <c r="F12" s="212" t="s">
        <v>702</v>
      </c>
      <c r="G12" s="11" t="s">
        <v>621</v>
      </c>
      <c r="H12" s="159"/>
      <c r="I12" s="15"/>
      <c r="J12" s="15"/>
    </row>
    <row r="13" spans="1:10" ht="33" customHeight="1">
      <c r="A13" s="100">
        <v>10</v>
      </c>
      <c r="B13" s="161" t="s">
        <v>431</v>
      </c>
      <c r="C13" s="102"/>
      <c r="D13" s="102" t="s">
        <v>22</v>
      </c>
      <c r="E13" s="103"/>
      <c r="F13" s="212" t="s">
        <v>703</v>
      </c>
      <c r="G13" s="11" t="str">
        <f>+'Portada '!$A$15</f>
        <v>Ingeniero de Proyectos / Project Engineer</v>
      </c>
      <c r="H13" s="159"/>
      <c r="I13" s="15"/>
      <c r="J13" s="15"/>
    </row>
    <row r="14" spans="1:10">
      <c r="A14" s="319" t="s">
        <v>425</v>
      </c>
      <c r="B14" s="319"/>
      <c r="C14" s="319"/>
      <c r="D14" s="319"/>
      <c r="E14" s="319"/>
      <c r="F14" s="319"/>
      <c r="G14" s="319"/>
      <c r="H14" s="319"/>
      <c r="I14" s="15"/>
      <c r="J14" s="15"/>
    </row>
    <row r="15" spans="1:10" ht="43.5">
      <c r="A15" s="100">
        <v>11</v>
      </c>
      <c r="B15" s="160" t="s">
        <v>423</v>
      </c>
      <c r="C15" s="102" t="s">
        <v>22</v>
      </c>
      <c r="D15" s="102"/>
      <c r="E15" s="103"/>
      <c r="F15" s="212"/>
      <c r="G15" s="11" t="str">
        <f>+'Portada '!$A$15</f>
        <v>Ingeniero de Proyectos / Project Engineer</v>
      </c>
      <c r="H15" s="159"/>
      <c r="I15" s="321"/>
      <c r="J15" s="322"/>
    </row>
    <row r="16" spans="1:10" ht="43.5">
      <c r="A16" s="100">
        <v>12</v>
      </c>
      <c r="B16" s="162" t="s">
        <v>422</v>
      </c>
      <c r="C16" s="102" t="s">
        <v>22</v>
      </c>
      <c r="D16" s="10"/>
      <c r="E16" s="14"/>
      <c r="F16" s="213"/>
      <c r="G16" s="11" t="str">
        <f>+'Portada '!$A$15</f>
        <v>Ingeniero de Proyectos / Project Engineer</v>
      </c>
      <c r="H16" s="156"/>
      <c r="I16" s="15"/>
      <c r="J16" s="15"/>
    </row>
    <row r="17" spans="1:10" ht="43.5">
      <c r="A17" s="100">
        <v>13</v>
      </c>
      <c r="B17" s="162" t="s">
        <v>421</v>
      </c>
      <c r="C17" s="102" t="s">
        <v>22</v>
      </c>
      <c r="D17" s="10"/>
      <c r="E17" s="14"/>
      <c r="F17" s="214"/>
      <c r="G17" s="11" t="str">
        <f>+'Portada '!$A$15</f>
        <v>Ingeniero de Proyectos / Project Engineer</v>
      </c>
      <c r="H17" s="21"/>
      <c r="I17" s="15"/>
      <c r="J17" s="15"/>
    </row>
    <row r="18" spans="1:10" ht="27" customHeight="1">
      <c r="A18" s="100">
        <v>14</v>
      </c>
      <c r="B18" s="162" t="s">
        <v>424</v>
      </c>
      <c r="C18" s="102" t="s">
        <v>22</v>
      </c>
      <c r="D18" s="10"/>
      <c r="E18" s="14"/>
      <c r="F18" s="214"/>
      <c r="G18" s="11" t="str">
        <f>+'Portada '!$A$15</f>
        <v>Ingeniero de Proyectos / Project Engineer</v>
      </c>
      <c r="H18" s="21"/>
      <c r="I18" s="15"/>
      <c r="J18" s="15"/>
    </row>
    <row r="19" spans="1:10">
      <c r="A19" s="319" t="s">
        <v>452</v>
      </c>
      <c r="B19" s="319"/>
      <c r="C19" s="319"/>
      <c r="D19" s="319"/>
      <c r="E19" s="319"/>
      <c r="F19" s="319"/>
      <c r="G19" s="319"/>
      <c r="H19" s="319"/>
      <c r="I19" s="15"/>
      <c r="J19" s="15"/>
    </row>
    <row r="20" spans="1:10" ht="29">
      <c r="A20" s="100">
        <v>15</v>
      </c>
      <c r="B20" s="161" t="s">
        <v>453</v>
      </c>
      <c r="C20" s="9" t="s">
        <v>22</v>
      </c>
      <c r="D20" s="9"/>
      <c r="E20" s="13"/>
      <c r="F20" s="212" t="s">
        <v>704</v>
      </c>
      <c r="G20" s="11" t="str">
        <f>+'Portada '!$A$15</f>
        <v>Ingeniero de Proyectos / Project Engineer</v>
      </c>
      <c r="H20" s="159"/>
      <c r="I20" s="15"/>
      <c r="J20" s="15"/>
    </row>
    <row r="21" spans="1:10" ht="43.5">
      <c r="A21" s="100">
        <v>16</v>
      </c>
      <c r="B21" s="161" t="s">
        <v>454</v>
      </c>
      <c r="C21" s="9" t="s">
        <v>22</v>
      </c>
      <c r="D21" s="9"/>
      <c r="E21" s="13"/>
      <c r="F21" s="212"/>
      <c r="G21" s="11" t="s">
        <v>429</v>
      </c>
      <c r="H21" s="159"/>
      <c r="I21" s="15"/>
      <c r="J21" s="15"/>
    </row>
    <row r="22" spans="1:10" ht="29">
      <c r="A22" s="100">
        <v>17</v>
      </c>
      <c r="B22" s="47" t="s">
        <v>428</v>
      </c>
      <c r="C22" s="9" t="s">
        <v>22</v>
      </c>
      <c r="D22" s="9"/>
      <c r="E22" s="13"/>
      <c r="F22" s="11"/>
      <c r="G22" s="11" t="s">
        <v>429</v>
      </c>
      <c r="H22" s="21"/>
      <c r="I22" s="15"/>
      <c r="J22" s="15"/>
    </row>
    <row r="23" spans="1:10" ht="29">
      <c r="A23" s="100">
        <v>18</v>
      </c>
      <c r="B23" s="47" t="s">
        <v>427</v>
      </c>
      <c r="C23" s="9" t="s">
        <v>22</v>
      </c>
      <c r="D23" s="9"/>
      <c r="E23" s="13"/>
      <c r="F23" s="11"/>
      <c r="G23" s="11" t="str">
        <f>+'Portada '!$A$15</f>
        <v>Ingeniero de Proyectos / Project Engineer</v>
      </c>
      <c r="H23" s="21"/>
      <c r="I23" s="15"/>
      <c r="J23" s="15"/>
    </row>
    <row r="24" spans="1:10" ht="43.5">
      <c r="A24" s="100">
        <v>19</v>
      </c>
      <c r="B24" s="47" t="s">
        <v>426</v>
      </c>
      <c r="C24" s="9" t="s">
        <v>22</v>
      </c>
      <c r="D24" s="9"/>
      <c r="E24" s="13"/>
      <c r="F24" s="11"/>
      <c r="G24" s="11" t="s">
        <v>429</v>
      </c>
      <c r="H24" s="21"/>
      <c r="I24" s="15"/>
      <c r="J24" s="15"/>
    </row>
    <row r="25" spans="1:10" customFormat="1" ht="43.5">
      <c r="A25" s="100">
        <v>20</v>
      </c>
      <c r="B25" s="47" t="s">
        <v>534</v>
      </c>
      <c r="C25" s="9"/>
      <c r="D25" s="10"/>
      <c r="E25" s="13"/>
      <c r="F25" s="11"/>
      <c r="G25" s="11" t="s">
        <v>429</v>
      </c>
      <c r="H25" s="21"/>
      <c r="I25" s="1"/>
      <c r="J25" s="1"/>
    </row>
    <row r="26" spans="1:10" customFormat="1" ht="29">
      <c r="A26" s="100">
        <v>21</v>
      </c>
      <c r="B26" s="47" t="s">
        <v>519</v>
      </c>
      <c r="C26" s="9" t="s">
        <v>22</v>
      </c>
      <c r="D26" s="10"/>
      <c r="E26" s="13"/>
      <c r="F26" s="11"/>
      <c r="G26" s="11" t="s">
        <v>535</v>
      </c>
      <c r="H26" s="21"/>
      <c r="I26" s="1"/>
      <c r="J26" s="1"/>
    </row>
    <row r="27" spans="1:10">
      <c r="A27" s="319" t="s">
        <v>40</v>
      </c>
      <c r="B27" s="319"/>
      <c r="C27" s="319"/>
      <c r="D27" s="319"/>
      <c r="E27" s="319"/>
      <c r="F27" s="319"/>
      <c r="G27" s="319"/>
      <c r="H27" s="319"/>
      <c r="I27" s="15"/>
      <c r="J27" s="15"/>
    </row>
    <row r="28" spans="1:10" ht="43.5">
      <c r="A28" s="100">
        <v>22</v>
      </c>
      <c r="B28" s="161" t="s">
        <v>455</v>
      </c>
      <c r="C28" s="10"/>
      <c r="D28" s="10" t="s">
        <v>22</v>
      </c>
      <c r="E28" s="10"/>
      <c r="F28" s="212"/>
      <c r="G28" s="11" t="s">
        <v>621</v>
      </c>
      <c r="H28" s="159"/>
      <c r="I28" s="15"/>
      <c r="J28" s="15"/>
    </row>
    <row r="29" spans="1:10" ht="29">
      <c r="A29" s="100">
        <v>23</v>
      </c>
      <c r="B29" s="17" t="s">
        <v>456</v>
      </c>
      <c r="C29" s="9"/>
      <c r="D29" s="9" t="s">
        <v>22</v>
      </c>
      <c r="E29" s="9"/>
      <c r="F29" s="169"/>
      <c r="G29" s="11" t="s">
        <v>621</v>
      </c>
      <c r="H29" s="156"/>
      <c r="I29" s="15"/>
      <c r="J29" s="15"/>
    </row>
  </sheetData>
  <customSheetViews>
    <customSheetView guid="{0D2B2804-9719-4CF5-836A-6C18EF806972}" scale="92" showPageBreaks="1" fitToPage="1" printArea="1" view="pageBreakPreview" topLeftCell="A18">
      <selection activeCell="B12" sqref="B12"/>
      <pageMargins left="0.7" right="0.7" top="0.75" bottom="0.75" header="0.3" footer="0.3"/>
      <pageSetup paperSize="9" scale="49" orientation="landscape" r:id="rId1"/>
    </customSheetView>
    <customSheetView guid="{F51EB4BE-1505-43EE-8F62-937E5A5046CB}" showPageBreaks="1" fitToPage="1" printArea="1" view="pageBreakPreview">
      <selection activeCell="I5" sqref="I5"/>
      <pageMargins left="0.7" right="0.7" top="0.75" bottom="0.75" header="0.3" footer="0.3"/>
      <pageSetup paperSize="9" scale="80" orientation="landscape" r:id="rId2"/>
    </customSheetView>
  </customSheetViews>
  <mergeCells count="7">
    <mergeCell ref="A27:H27"/>
    <mergeCell ref="A19:H19"/>
    <mergeCell ref="B1:D1"/>
    <mergeCell ref="I15:J15"/>
    <mergeCell ref="E1:H1"/>
    <mergeCell ref="A14:H14"/>
    <mergeCell ref="A3:H3"/>
  </mergeCells>
  <pageMargins left="0.17" right="0.3" top="0.31" bottom="0.27" header="0.22" footer="0.16"/>
  <pageSetup paperSize="9" scale="81"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Misc!$E$3:$E$4</xm:f>
          </x14:formula1>
          <xm:sqref>C20:E26 C28:E29 C15:E18 C4:E13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9">
    <tabColor rgb="FF00B0F0"/>
    <pageSetUpPr fitToPage="1"/>
  </sheetPr>
  <dimension ref="A1:J6"/>
  <sheetViews>
    <sheetView view="pageLayout" zoomScaleNormal="100" zoomScaleSheetLayoutView="81" workbookViewId="0">
      <selection activeCell="F5" sqref="F5"/>
    </sheetView>
  </sheetViews>
  <sheetFormatPr defaultColWidth="9.1796875" defaultRowHeight="14.5"/>
  <cols>
    <col min="1" max="1" width="9.1796875" style="16"/>
    <col min="2" max="2" width="57.1796875" style="16" customWidth="1"/>
    <col min="3" max="5" width="9.1796875" style="16"/>
    <col min="6" max="6" width="28.7265625" style="16" bestFit="1" customWidth="1"/>
    <col min="7" max="7" width="14.7265625" style="16" bestFit="1" customWidth="1"/>
    <col min="8" max="8" width="10.7265625" style="16" bestFit="1" customWidth="1"/>
    <col min="9" max="16384" width="9.1796875" style="16"/>
  </cols>
  <sheetData>
    <row r="1" spans="1:10" ht="45.75" customHeight="1">
      <c r="A1" s="8"/>
      <c r="B1" s="320"/>
      <c r="C1" s="320"/>
      <c r="D1" s="320"/>
      <c r="E1" s="323" t="s">
        <v>335</v>
      </c>
      <c r="F1" s="323"/>
      <c r="G1" s="323"/>
      <c r="H1" s="323"/>
      <c r="I1" s="15"/>
      <c r="J1" s="15"/>
    </row>
    <row r="2" spans="1:10" ht="33.75" customHeight="1">
      <c r="A2" s="120"/>
      <c r="B2" s="121" t="s">
        <v>61</v>
      </c>
      <c r="C2" s="121" t="s">
        <v>58</v>
      </c>
      <c r="D2" s="121" t="s">
        <v>0</v>
      </c>
      <c r="E2" s="121" t="s">
        <v>1</v>
      </c>
      <c r="F2" s="121" t="s">
        <v>57</v>
      </c>
      <c r="G2" s="121" t="s">
        <v>59</v>
      </c>
      <c r="H2" s="121" t="s">
        <v>60</v>
      </c>
      <c r="I2" s="15"/>
      <c r="J2" s="15"/>
    </row>
    <row r="3" spans="1:10" ht="58.5" customHeight="1">
      <c r="A3" s="78">
        <v>1</v>
      </c>
      <c r="B3" s="17" t="s">
        <v>434</v>
      </c>
      <c r="C3" s="9" t="s">
        <v>22</v>
      </c>
      <c r="D3" s="9"/>
      <c r="E3" s="9"/>
      <c r="F3" s="11"/>
      <c r="G3" s="11" t="str">
        <f>+'Portada '!$A$15</f>
        <v>Ingeniero de Proyectos / Project Engineer</v>
      </c>
      <c r="H3" s="21"/>
      <c r="I3" s="321"/>
      <c r="J3" s="322"/>
    </row>
    <row r="4" spans="1:10" ht="29">
      <c r="A4" s="78">
        <v>2</v>
      </c>
      <c r="B4" s="17" t="s">
        <v>463</v>
      </c>
      <c r="C4" s="9" t="s">
        <v>22</v>
      </c>
      <c r="D4" s="9"/>
      <c r="E4" s="9"/>
      <c r="F4" s="11"/>
      <c r="G4" s="11" t="str">
        <f>+'Portada '!$A$16</f>
        <v>Ingeniero de Calidad / QE</v>
      </c>
      <c r="H4" s="21"/>
      <c r="I4" s="15"/>
      <c r="J4" s="15"/>
    </row>
    <row r="5" spans="1:10" ht="72.5">
      <c r="A5" s="78">
        <v>3</v>
      </c>
      <c r="B5" s="47" t="s">
        <v>470</v>
      </c>
      <c r="C5" s="9"/>
      <c r="D5" s="9" t="s">
        <v>22</v>
      </c>
      <c r="E5" s="9"/>
      <c r="F5" s="11" t="s">
        <v>729</v>
      </c>
      <c r="G5" s="11" t="s">
        <v>443</v>
      </c>
      <c r="H5" s="21"/>
      <c r="I5" s="15"/>
      <c r="J5" s="15"/>
    </row>
    <row r="6" spans="1:10" ht="72.5">
      <c r="A6" s="78">
        <v>4</v>
      </c>
      <c r="B6" s="47" t="s">
        <v>471</v>
      </c>
      <c r="C6" s="9" t="s">
        <v>22</v>
      </c>
      <c r="D6" s="9"/>
      <c r="E6" s="9"/>
      <c r="F6" s="11"/>
      <c r="G6" s="11" t="s">
        <v>443</v>
      </c>
      <c r="H6" s="21"/>
      <c r="I6" s="15"/>
      <c r="J6" s="15"/>
    </row>
  </sheetData>
  <customSheetViews>
    <customSheetView guid="{0D2B2804-9719-4CF5-836A-6C18EF806972}" scale="81" showPageBreaks="1" fitToPage="1" printArea="1" view="pageBreakPreview">
      <selection activeCell="C5" sqref="C5"/>
      <pageMargins left="0.7" right="0.7" top="0.75" bottom="0.75" header="0.3" footer="0.3"/>
      <pageSetup paperSize="9" scale="78" orientation="landscape" r:id="rId1"/>
    </customSheetView>
  </customSheetViews>
  <mergeCells count="3">
    <mergeCell ref="B1:D1"/>
    <mergeCell ref="E1:H1"/>
    <mergeCell ref="I3:J3"/>
  </mergeCells>
  <pageMargins left="0.17" right="0.3" top="0.31" bottom="0.27" header="0.22" footer="0.16"/>
  <pageSetup paperSize="9" scale="86" fitToHeight="0" orientation="landscape" r:id="rId2"/>
  <headerFooter alignWithMargins="0">
    <oddHeader xml:space="preserve">&amp;L
&amp;C
</oddHeader>
    <oddFooter>&amp;RF7100 Rev. 20/10/2020</oddFooter>
  </headerFooter>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Misc!$E$3:$E$4</xm:f>
          </x14:formula1>
          <xm:sqref>C3:E6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tabColor rgb="FF00B0F0"/>
    <pageSetUpPr fitToPage="1"/>
  </sheetPr>
  <dimension ref="A1:J6"/>
  <sheetViews>
    <sheetView view="pageLayout" zoomScaleNormal="100" zoomScaleSheetLayoutView="100" workbookViewId="0">
      <selection activeCell="F5" sqref="F5"/>
    </sheetView>
  </sheetViews>
  <sheetFormatPr defaultColWidth="9.1796875" defaultRowHeight="14.5"/>
  <cols>
    <col min="1" max="1" width="9.1796875" style="16"/>
    <col min="2" max="2" width="53.1796875" style="16" bestFit="1" customWidth="1"/>
    <col min="3" max="5" width="9.1796875" style="16"/>
    <col min="6" max="6" width="28.7265625" style="16" bestFit="1" customWidth="1"/>
    <col min="7" max="7" width="14.7265625" style="16" bestFit="1" customWidth="1"/>
    <col min="8" max="8" width="10.7265625" style="16" bestFit="1" customWidth="1"/>
    <col min="9" max="16384" width="9.1796875" style="16"/>
  </cols>
  <sheetData>
    <row r="1" spans="1:10" ht="45.75" customHeight="1">
      <c r="A1" s="8"/>
      <c r="B1" s="320"/>
      <c r="C1" s="320"/>
      <c r="D1" s="320"/>
      <c r="E1" s="323" t="s">
        <v>335</v>
      </c>
      <c r="F1" s="323"/>
      <c r="G1" s="323"/>
      <c r="H1" s="323"/>
      <c r="I1" s="15"/>
      <c r="J1" s="15"/>
    </row>
    <row r="2" spans="1:10" ht="33.75" customHeight="1">
      <c r="A2" s="120"/>
      <c r="B2" s="121" t="s">
        <v>61</v>
      </c>
      <c r="C2" s="121" t="s">
        <v>58</v>
      </c>
      <c r="D2" s="121" t="s">
        <v>0</v>
      </c>
      <c r="E2" s="121" t="s">
        <v>1</v>
      </c>
      <c r="F2" s="121" t="s">
        <v>57</v>
      </c>
      <c r="G2" s="121" t="s">
        <v>59</v>
      </c>
      <c r="H2" s="121" t="s">
        <v>60</v>
      </c>
      <c r="I2" s="15"/>
      <c r="J2" s="15"/>
    </row>
    <row r="3" spans="1:10" ht="33" customHeight="1">
      <c r="A3" s="78">
        <v>1</v>
      </c>
      <c r="B3" s="47" t="s">
        <v>435</v>
      </c>
      <c r="C3" s="9" t="s">
        <v>22</v>
      </c>
      <c r="D3" s="9"/>
      <c r="E3" s="9"/>
      <c r="F3" s="11"/>
      <c r="G3" s="11" t="str">
        <f>+'Portada '!$A$17</f>
        <v>Process Engineer / PE</v>
      </c>
      <c r="H3" s="21"/>
      <c r="I3" s="321"/>
      <c r="J3" s="322"/>
    </row>
    <row r="4" spans="1:10" ht="60.75" customHeight="1">
      <c r="A4" s="78">
        <v>2</v>
      </c>
      <c r="B4" s="47" t="s">
        <v>457</v>
      </c>
      <c r="C4" s="9" t="s">
        <v>22</v>
      </c>
      <c r="D4" s="9"/>
      <c r="E4" s="9"/>
      <c r="F4" s="11"/>
      <c r="G4" s="11" t="str">
        <f>+'Portada '!$A$17</f>
        <v>Process Engineer / PE</v>
      </c>
      <c r="H4" s="21"/>
      <c r="I4" s="321"/>
      <c r="J4" s="322"/>
    </row>
    <row r="5" spans="1:10" ht="43.5">
      <c r="A5" s="78">
        <v>3</v>
      </c>
      <c r="B5" s="47" t="s">
        <v>436</v>
      </c>
      <c r="C5" s="9" t="s">
        <v>22</v>
      </c>
      <c r="D5" s="9"/>
      <c r="E5" s="9"/>
      <c r="F5" s="11"/>
      <c r="G5" s="11" t="str">
        <f>+'Portada '!$A$17</f>
        <v>Process Engineer / PE</v>
      </c>
      <c r="H5" s="21"/>
      <c r="I5" s="15"/>
      <c r="J5" s="15"/>
    </row>
    <row r="6" spans="1:10" ht="58">
      <c r="A6" s="78">
        <v>4</v>
      </c>
      <c r="B6" s="47" t="s">
        <v>458</v>
      </c>
      <c r="C6" s="9" t="s">
        <v>22</v>
      </c>
      <c r="D6" s="9"/>
      <c r="E6" s="9"/>
      <c r="F6" s="11"/>
      <c r="G6" s="11" t="str">
        <f>+'Portada '!$A$17</f>
        <v>Process Engineer / PE</v>
      </c>
      <c r="H6" s="21"/>
      <c r="I6" s="15"/>
      <c r="J6" s="15"/>
    </row>
  </sheetData>
  <customSheetViews>
    <customSheetView guid="{0D2B2804-9719-4CF5-836A-6C18EF806972}" showPageBreaks="1" fitToPage="1" printArea="1" view="pageBreakPreview">
      <selection activeCell="C4" sqref="C4"/>
      <pageMargins left="0.7" right="0.7" top="0.75" bottom="0.75" header="0.3" footer="0.3"/>
      <pageSetup paperSize="9" scale="80" orientation="landscape" r:id="rId1"/>
    </customSheetView>
    <customSheetView guid="{F51EB4BE-1505-43EE-8F62-937E5A5046CB}" showPageBreaks="1" fitToPage="1" printArea="1" view="pageBreakPreview">
      <selection activeCell="G3" sqref="G3:G6"/>
      <pageMargins left="0.7" right="0.7" top="0.75" bottom="0.75" header="0.3" footer="0.3"/>
      <pageSetup paperSize="9" scale="82" orientation="landscape" r:id="rId2"/>
    </customSheetView>
  </customSheetViews>
  <mergeCells count="4">
    <mergeCell ref="B1:D1"/>
    <mergeCell ref="I3:J3"/>
    <mergeCell ref="I4:J4"/>
    <mergeCell ref="E1:H1"/>
  </mergeCells>
  <pageMargins left="0.17" right="0.3" top="0.31" bottom="0.27" header="0.22" footer="0.16"/>
  <pageSetup paperSize="9" scale="88"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Misc!$E$3:$E$4</xm:f>
          </x14:formula1>
          <xm:sqref>C3:E6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rgb="FF00B0F0"/>
    <pageSetUpPr fitToPage="1"/>
  </sheetPr>
  <dimension ref="A1:J6"/>
  <sheetViews>
    <sheetView view="pageLayout" zoomScaleNormal="100" zoomScaleSheetLayoutView="100" workbookViewId="0">
      <selection activeCell="F5" sqref="F5"/>
    </sheetView>
  </sheetViews>
  <sheetFormatPr defaultColWidth="9.1796875" defaultRowHeight="14.5"/>
  <cols>
    <col min="2" max="2" width="58.54296875" customWidth="1"/>
    <col min="6" max="6" width="34.54296875" customWidth="1"/>
    <col min="7" max="7" width="15.453125" customWidth="1"/>
    <col min="8" max="8" width="12.1796875" bestFit="1" customWidth="1"/>
  </cols>
  <sheetData>
    <row r="1" spans="1:10" ht="45.75" customHeight="1">
      <c r="A1" s="8"/>
      <c r="B1" s="320"/>
      <c r="C1" s="320"/>
      <c r="D1" s="320"/>
      <c r="E1" s="323" t="s">
        <v>335</v>
      </c>
      <c r="F1" s="323"/>
      <c r="G1" s="323"/>
      <c r="H1" s="323"/>
      <c r="I1" s="1"/>
      <c r="J1" s="1"/>
    </row>
    <row r="2" spans="1:10" ht="30" customHeight="1">
      <c r="A2" s="120"/>
      <c r="B2" s="121" t="s">
        <v>61</v>
      </c>
      <c r="C2" s="121" t="s">
        <v>58</v>
      </c>
      <c r="D2" s="121" t="s">
        <v>0</v>
      </c>
      <c r="E2" s="121" t="s">
        <v>1</v>
      </c>
      <c r="F2" s="121" t="s">
        <v>57</v>
      </c>
      <c r="G2" s="121" t="s">
        <v>59</v>
      </c>
      <c r="H2" s="121" t="s">
        <v>60</v>
      </c>
      <c r="I2" s="1"/>
      <c r="J2" s="1"/>
    </row>
    <row r="3" spans="1:10" ht="29">
      <c r="A3" s="78">
        <v>1</v>
      </c>
      <c r="B3" s="47" t="s">
        <v>459</v>
      </c>
      <c r="C3" s="9"/>
      <c r="D3" s="9" t="s">
        <v>22</v>
      </c>
      <c r="E3" s="13"/>
      <c r="F3" s="11" t="s">
        <v>705</v>
      </c>
      <c r="G3" s="11" t="str">
        <f>+'Portada '!$A$16</f>
        <v>Ingeniero de Calidad / QE</v>
      </c>
      <c r="H3" s="21"/>
      <c r="I3" s="321"/>
      <c r="J3" s="322"/>
    </row>
    <row r="4" spans="1:10" ht="29">
      <c r="A4" s="78">
        <v>2</v>
      </c>
      <c r="B4" s="47" t="s">
        <v>460</v>
      </c>
      <c r="C4" s="9" t="s">
        <v>22</v>
      </c>
      <c r="D4" s="9"/>
      <c r="E4" s="13"/>
      <c r="F4" s="11"/>
      <c r="G4" s="11" t="str">
        <f>+'Portada '!$A$16</f>
        <v>Ingeniero de Calidad / QE</v>
      </c>
      <c r="H4" s="21"/>
      <c r="I4" s="321"/>
      <c r="J4" s="322"/>
    </row>
    <row r="5" spans="1:10" ht="29">
      <c r="A5" s="78">
        <v>3</v>
      </c>
      <c r="B5" s="47" t="s">
        <v>461</v>
      </c>
      <c r="C5" s="9" t="s">
        <v>22</v>
      </c>
      <c r="D5" s="9"/>
      <c r="E5" s="13"/>
      <c r="F5" s="11"/>
      <c r="G5" s="11" t="str">
        <f>+'Portada '!$A$16</f>
        <v>Ingeniero de Calidad / QE</v>
      </c>
      <c r="H5" s="21"/>
      <c r="I5" s="1"/>
      <c r="J5" s="1"/>
    </row>
    <row r="6" spans="1:10" ht="43.5">
      <c r="A6" s="78">
        <v>4</v>
      </c>
      <c r="B6" s="47" t="s">
        <v>476</v>
      </c>
      <c r="C6" s="9" t="s">
        <v>22</v>
      </c>
      <c r="D6" s="9"/>
      <c r="E6" s="8"/>
      <c r="F6" s="11"/>
      <c r="G6" s="11" t="str">
        <f>+'Portada '!$A$16</f>
        <v>Ingeniero de Calidad / QE</v>
      </c>
      <c r="H6" s="21"/>
      <c r="I6" s="1"/>
      <c r="J6" s="1"/>
    </row>
  </sheetData>
  <customSheetViews>
    <customSheetView guid="{0D2B2804-9719-4CF5-836A-6C18EF806972}" showPageBreaks="1" fitToPage="1" printArea="1" view="pageBreakPreview">
      <pane xSplit="2" ySplit="2" topLeftCell="C3" activePane="bottomRight" state="frozen"/>
      <selection pane="bottomRight" activeCell="E3" sqref="E3"/>
      <pageMargins left="0.7" right="0.7" top="0.75" bottom="0.75" header="0.3" footer="0.3"/>
      <pageSetup paperSize="9" scale="74" orientation="landscape" r:id="rId1"/>
    </customSheetView>
    <customSheetView guid="{F51EB4BE-1505-43EE-8F62-937E5A5046CB}" showPageBreaks="1" fitToPage="1" printArea="1" view="pageBreakPreview">
      <pane xSplit="2" ySplit="2" topLeftCell="C3" activePane="bottomRight" state="frozen"/>
      <selection pane="bottomRight" activeCell="G3" sqref="G3:G8"/>
      <pageMargins left="0.7" right="0.7" top="0.75" bottom="0.75" header="0.3" footer="0.3"/>
      <pageSetup paperSize="9" scale="76" orientation="landscape" r:id="rId2"/>
    </customSheetView>
  </customSheetViews>
  <mergeCells count="4">
    <mergeCell ref="B1:D1"/>
    <mergeCell ref="I3:J3"/>
    <mergeCell ref="I4:J4"/>
    <mergeCell ref="E1:H1"/>
  </mergeCells>
  <pageMargins left="0.17" right="0.3" top="0.31" bottom="0.27" header="0.22" footer="0.16"/>
  <pageSetup paperSize="9" scale="81"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Misc!$E$3:$E$4</xm:f>
          </x14:formula1>
          <xm:sqref>C6:D6 C3:E5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5">
    <tabColor rgb="FF00B0F0"/>
    <pageSetUpPr fitToPage="1"/>
  </sheetPr>
  <dimension ref="A1:J6"/>
  <sheetViews>
    <sheetView showGridLines="0" view="pageLayout" zoomScaleNormal="100" zoomScaleSheetLayoutView="100" workbookViewId="0">
      <selection activeCell="F5" sqref="F5"/>
    </sheetView>
  </sheetViews>
  <sheetFormatPr defaultColWidth="9.1796875" defaultRowHeight="14.5"/>
  <cols>
    <col min="2" max="2" width="58.453125" customWidth="1"/>
    <col min="6" max="6" width="28.7265625" bestFit="1" customWidth="1"/>
    <col min="7" max="7" width="14.7265625" bestFit="1" customWidth="1"/>
    <col min="8" max="8" width="11" bestFit="1" customWidth="1"/>
    <col min="9" max="9" width="19.7265625" customWidth="1"/>
  </cols>
  <sheetData>
    <row r="1" spans="1:10" ht="45.75" customHeight="1">
      <c r="A1" s="8"/>
      <c r="B1" s="320"/>
      <c r="C1" s="320"/>
      <c r="D1" s="320"/>
      <c r="E1" s="323" t="s">
        <v>335</v>
      </c>
      <c r="F1" s="323"/>
      <c r="G1" s="323"/>
      <c r="H1" s="323"/>
      <c r="I1" s="1"/>
      <c r="J1" s="1"/>
    </row>
    <row r="2" spans="1:10" ht="52">
      <c r="A2" s="120"/>
      <c r="B2" s="121" t="s">
        <v>61</v>
      </c>
      <c r="C2" s="121" t="s">
        <v>58</v>
      </c>
      <c r="D2" s="121" t="s">
        <v>0</v>
      </c>
      <c r="E2" s="121" t="s">
        <v>1</v>
      </c>
      <c r="F2" s="121" t="s">
        <v>57</v>
      </c>
      <c r="G2" s="121" t="s">
        <v>59</v>
      </c>
      <c r="H2" s="121" t="s">
        <v>60</v>
      </c>
      <c r="I2" s="122" t="s">
        <v>63</v>
      </c>
      <c r="J2" s="5" t="s">
        <v>3</v>
      </c>
    </row>
    <row r="3" spans="1:10" ht="72.5">
      <c r="A3" s="78">
        <v>1</v>
      </c>
      <c r="B3" s="47" t="s">
        <v>601</v>
      </c>
      <c r="C3" s="9" t="s">
        <v>22</v>
      </c>
      <c r="D3" s="9"/>
      <c r="E3" s="9"/>
      <c r="F3" s="3"/>
      <c r="G3" s="3" t="str">
        <f>+'Portada '!$A$17</f>
        <v>Process Engineer / PE</v>
      </c>
      <c r="H3" s="21"/>
      <c r="I3" s="324"/>
      <c r="J3" s="325"/>
    </row>
    <row r="4" spans="1:10" ht="43.5">
      <c r="A4" s="78">
        <v>2</v>
      </c>
      <c r="B4" s="47" t="s">
        <v>602</v>
      </c>
      <c r="C4" s="9"/>
      <c r="D4" s="9" t="s">
        <v>22</v>
      </c>
      <c r="E4" s="9"/>
      <c r="F4" s="3" t="s">
        <v>706</v>
      </c>
      <c r="G4" s="3" t="str">
        <f>+'Portada '!$A$17</f>
        <v>Process Engineer / PE</v>
      </c>
      <c r="H4" s="21"/>
      <c r="I4" s="321"/>
      <c r="J4" s="326"/>
    </row>
    <row r="5" spans="1:10" ht="43.5">
      <c r="A5" s="78">
        <v>3</v>
      </c>
      <c r="B5" s="47" t="s">
        <v>462</v>
      </c>
      <c r="C5" s="9" t="s">
        <v>22</v>
      </c>
      <c r="D5" s="9"/>
      <c r="E5" s="9"/>
      <c r="F5" s="3" t="s">
        <v>707</v>
      </c>
      <c r="G5" s="3" t="str">
        <f>+'Portada '!$A$17</f>
        <v>Process Engineer / PE</v>
      </c>
      <c r="H5" s="21"/>
      <c r="I5" s="19"/>
      <c r="J5" s="75"/>
    </row>
    <row r="6" spans="1:10" ht="29">
      <c r="A6" s="78">
        <v>4</v>
      </c>
      <c r="B6" s="47" t="s">
        <v>632</v>
      </c>
      <c r="C6" s="9"/>
      <c r="D6" s="9" t="s">
        <v>22</v>
      </c>
      <c r="E6" s="9"/>
      <c r="F6" s="3"/>
      <c r="G6" s="3" t="str">
        <f>+'Portada '!$A$17</f>
        <v>Process Engineer / PE</v>
      </c>
      <c r="H6" s="21"/>
      <c r="I6" s="19"/>
      <c r="J6" s="75"/>
    </row>
  </sheetData>
  <customSheetViews>
    <customSheetView guid="{0D2B2804-9719-4CF5-836A-6C18EF806972}" showPageBreaks="1" showGridLines="0" fitToPage="1" hiddenRows="1" view="pageBreakPreview">
      <pane xSplit="2" ySplit="2" topLeftCell="C3" activePane="bottomRight" state="frozen"/>
      <selection pane="bottomRight" activeCell="C3" sqref="C3"/>
      <pageMargins left="0.7" right="0.7" top="0.75" bottom="0.75" header="0.3" footer="0.3"/>
      <pageSetup paperSize="9" scale="73" orientation="landscape" r:id="rId1"/>
    </customSheetView>
    <customSheetView guid="{F51EB4BE-1505-43EE-8F62-937E5A5046CB}" showPageBreaks="1" showGridLines="0" fitToPage="1" hiddenRows="1" view="pageBreakPreview">
      <pane xSplit="2" ySplit="2" topLeftCell="C3" activePane="bottomRight" state="frozen"/>
      <selection pane="bottomRight" activeCell="A6" sqref="A6:XFD6"/>
      <pageMargins left="0.7" right="0.7" top="0.75" bottom="0.75" header="0.3" footer="0.3"/>
      <pageSetup paperSize="9" scale="75" orientation="landscape" r:id="rId2"/>
    </customSheetView>
  </customSheetViews>
  <mergeCells count="4">
    <mergeCell ref="B1:D1"/>
    <mergeCell ref="I3:J3"/>
    <mergeCell ref="I4:J4"/>
    <mergeCell ref="E1:H1"/>
  </mergeCells>
  <pageMargins left="0.17" right="0.3" top="0.31" bottom="0.27" header="0.22" footer="0.16"/>
  <pageSetup paperSize="9" scale="80"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Misc!$E$3:$E$4</xm:f>
          </x14:formula1>
          <xm:sqref>C3:E6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6">
    <tabColor rgb="FF00B0F0"/>
    <pageSetUpPr fitToPage="1"/>
  </sheetPr>
  <dimension ref="A1:J13"/>
  <sheetViews>
    <sheetView view="pageLayout" zoomScaleNormal="100" zoomScaleSheetLayoutView="100" workbookViewId="0">
      <selection activeCell="F5" sqref="F5"/>
    </sheetView>
  </sheetViews>
  <sheetFormatPr defaultColWidth="9.1796875" defaultRowHeight="14.5"/>
  <cols>
    <col min="2" max="2" width="57.54296875" bestFit="1" customWidth="1"/>
    <col min="6" max="6" width="28.7265625" bestFit="1" customWidth="1"/>
    <col min="7" max="7" width="16.7265625" customWidth="1"/>
    <col min="8" max="8" width="12" bestFit="1" customWidth="1"/>
  </cols>
  <sheetData>
    <row r="1" spans="1:10" ht="45.75" customHeight="1">
      <c r="A1" s="8"/>
      <c r="B1" s="320"/>
      <c r="C1" s="320"/>
      <c r="D1" s="320"/>
      <c r="E1" s="323" t="s">
        <v>335</v>
      </c>
      <c r="F1" s="323"/>
      <c r="G1" s="323"/>
      <c r="H1" s="323"/>
      <c r="I1" s="1"/>
      <c r="J1" s="1"/>
    </row>
    <row r="2" spans="1:10" ht="29">
      <c r="A2" s="120"/>
      <c r="B2" s="121" t="s">
        <v>61</v>
      </c>
      <c r="C2" s="121" t="s">
        <v>58</v>
      </c>
      <c r="D2" s="121" t="s">
        <v>0</v>
      </c>
      <c r="E2" s="121" t="s">
        <v>1</v>
      </c>
      <c r="F2" s="121" t="s">
        <v>57</v>
      </c>
      <c r="G2" s="121" t="s">
        <v>59</v>
      </c>
      <c r="H2" s="121" t="s">
        <v>60</v>
      </c>
      <c r="I2" s="1"/>
      <c r="J2" s="1"/>
    </row>
    <row r="3" spans="1:10" ht="43.5">
      <c r="A3" s="78">
        <v>1</v>
      </c>
      <c r="B3" s="47" t="s">
        <v>437</v>
      </c>
      <c r="C3" s="9" t="s">
        <v>22</v>
      </c>
      <c r="D3" s="9"/>
      <c r="E3" s="13"/>
      <c r="F3" s="11"/>
      <c r="G3" s="11" t="str">
        <f>+'Portada '!$A$17</f>
        <v>Process Engineer / PE</v>
      </c>
      <c r="H3" s="21"/>
      <c r="I3" s="321"/>
      <c r="J3" s="322"/>
    </row>
    <row r="4" spans="1:10" ht="58">
      <c r="A4" s="78">
        <v>2</v>
      </c>
      <c r="B4" s="47" t="s">
        <v>464</v>
      </c>
      <c r="C4" s="9" t="s">
        <v>22</v>
      </c>
      <c r="D4" s="9"/>
      <c r="E4" s="13"/>
      <c r="F4" s="11"/>
      <c r="G4" s="11" t="str">
        <f>+'Portada '!$A$17</f>
        <v>Process Engineer / PE</v>
      </c>
      <c r="H4" s="21"/>
      <c r="I4" s="1"/>
      <c r="J4" s="1"/>
    </row>
    <row r="5" spans="1:10" ht="29">
      <c r="A5" s="78">
        <v>3</v>
      </c>
      <c r="B5" s="47" t="s">
        <v>633</v>
      </c>
      <c r="C5" s="9" t="s">
        <v>22</v>
      </c>
      <c r="D5" s="9"/>
      <c r="E5" s="13"/>
      <c r="F5" s="13"/>
      <c r="G5" s="11" t="str">
        <f>+'Portada '!$A$17</f>
        <v>Process Engineer / PE</v>
      </c>
      <c r="H5" s="21"/>
      <c r="I5" s="1"/>
      <c r="J5" s="1"/>
    </row>
    <row r="6" spans="1:10" ht="29">
      <c r="A6" s="78">
        <v>4</v>
      </c>
      <c r="B6" s="47" t="s">
        <v>438</v>
      </c>
      <c r="C6" s="9" t="s">
        <v>22</v>
      </c>
      <c r="D6" s="9"/>
      <c r="E6" s="13"/>
      <c r="F6" s="11"/>
      <c r="G6" s="11" t="str">
        <f>+'Portada '!$A$17</f>
        <v>Process Engineer / PE</v>
      </c>
      <c r="H6" s="21"/>
      <c r="I6" s="1"/>
      <c r="J6" s="1"/>
    </row>
    <row r="7" spans="1:10" ht="29">
      <c r="A7" s="78">
        <v>5</v>
      </c>
      <c r="B7" s="47" t="s">
        <v>634</v>
      </c>
      <c r="C7" s="9" t="s">
        <v>22</v>
      </c>
      <c r="D7" s="9"/>
      <c r="E7" s="13"/>
      <c r="F7" s="13"/>
      <c r="G7" s="11" t="str">
        <f>+'Portada '!$A$17</f>
        <v>Process Engineer / PE</v>
      </c>
      <c r="H7" s="21"/>
      <c r="I7" s="1"/>
      <c r="J7" s="1"/>
    </row>
    <row r="8" spans="1:10" ht="43.5">
      <c r="A8" s="78">
        <v>6</v>
      </c>
      <c r="B8" s="47" t="s">
        <v>465</v>
      </c>
      <c r="C8" s="9" t="s">
        <v>22</v>
      </c>
      <c r="D8" s="9"/>
      <c r="E8" s="13"/>
      <c r="F8" s="13"/>
      <c r="G8" s="11" t="str">
        <f>+'Portada '!$A$17</f>
        <v>Process Engineer / PE</v>
      </c>
      <c r="H8" s="21"/>
      <c r="I8" s="1"/>
      <c r="J8" s="1"/>
    </row>
    <row r="9" spans="1:10" ht="29">
      <c r="A9" s="78">
        <v>7</v>
      </c>
      <c r="B9" s="47" t="s">
        <v>439</v>
      </c>
      <c r="C9" s="9" t="s">
        <v>22</v>
      </c>
      <c r="D9" s="9"/>
      <c r="E9" s="13"/>
      <c r="F9" s="13"/>
      <c r="G9" s="11" t="str">
        <f>+'Portada '!$A$17</f>
        <v>Process Engineer / PE</v>
      </c>
      <c r="H9" s="21"/>
      <c r="I9" s="1"/>
      <c r="J9" s="1"/>
    </row>
    <row r="10" spans="1:10" ht="30.75" customHeight="1">
      <c r="A10" s="78">
        <v>8</v>
      </c>
      <c r="B10" s="47" t="s">
        <v>440</v>
      </c>
      <c r="C10" s="9" t="s">
        <v>22</v>
      </c>
      <c r="D10" s="9"/>
      <c r="E10" s="13"/>
      <c r="F10" s="11"/>
      <c r="G10" s="11" t="str">
        <f>+'Portada '!$A$17</f>
        <v>Process Engineer / PE</v>
      </c>
      <c r="H10" s="21"/>
      <c r="I10" s="1"/>
      <c r="J10" s="1"/>
    </row>
    <row r="11" spans="1:10" ht="29">
      <c r="A11" s="78">
        <v>9</v>
      </c>
      <c r="B11" s="47" t="s">
        <v>532</v>
      </c>
      <c r="C11" s="9" t="s">
        <v>22</v>
      </c>
      <c r="D11" s="10"/>
      <c r="E11" s="10"/>
      <c r="F11" s="11"/>
      <c r="G11" s="11" t="str">
        <f>+'Portada '!$A$17</f>
        <v>Process Engineer / PE</v>
      </c>
      <c r="H11" s="21"/>
      <c r="I11" s="1"/>
      <c r="J11" s="1"/>
    </row>
    <row r="12" spans="1:10" ht="58">
      <c r="A12" s="78">
        <v>10</v>
      </c>
      <c r="B12" s="47" t="s">
        <v>513</v>
      </c>
      <c r="C12" s="9" t="s">
        <v>22</v>
      </c>
      <c r="D12" s="9"/>
      <c r="E12" s="9"/>
      <c r="F12" s="11"/>
      <c r="G12" s="11" t="s">
        <v>635</v>
      </c>
      <c r="H12" s="21"/>
      <c r="I12" s="1"/>
      <c r="J12" s="1"/>
    </row>
    <row r="13" spans="1:10" ht="29">
      <c r="A13" s="78">
        <v>11</v>
      </c>
      <c r="B13" s="47" t="s">
        <v>647</v>
      </c>
      <c r="C13" s="9" t="s">
        <v>22</v>
      </c>
      <c r="D13" s="9"/>
      <c r="E13" s="9"/>
      <c r="F13" s="11"/>
      <c r="G13" s="11" t="str">
        <f>+'Portada '!$A$17</f>
        <v>Process Engineer / PE</v>
      </c>
      <c r="H13" s="21"/>
      <c r="I13" s="1"/>
      <c r="J13" s="1"/>
    </row>
  </sheetData>
  <customSheetViews>
    <customSheetView guid="{0D2B2804-9719-4CF5-836A-6C18EF806972}" showPageBreaks="1" fitToPage="1" printArea="1" view="pageBreakPreview">
      <selection activeCell="C3" sqref="C3"/>
      <pageMargins left="0.7" right="0.7" top="0.75" bottom="0.75" header="0.3" footer="0.3"/>
      <pageSetup paperSize="9" scale="77" orientation="landscape" r:id="rId1"/>
    </customSheetView>
    <customSheetView guid="{F51EB4BE-1505-43EE-8F62-937E5A5046CB}" showPageBreaks="1" fitToPage="1" view="pageBreakPreview">
      <selection activeCell="G3" sqref="G3:G7"/>
      <pageMargins left="0.7" right="0.7" top="0.75" bottom="0.75" header="0.3" footer="0.3"/>
      <pageSetup paperSize="9" scale="78" orientation="landscape" r:id="rId2"/>
    </customSheetView>
  </customSheetViews>
  <mergeCells count="3">
    <mergeCell ref="B1:D1"/>
    <mergeCell ref="I3:J3"/>
    <mergeCell ref="E1:H1"/>
  </mergeCells>
  <pageMargins left="0.17" right="0.3" top="0.31" bottom="0.27" header="0.22" footer="0.16"/>
  <pageSetup paperSize="9" scale="84"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Misc!$E$3:$E$4</xm:f>
          </x14:formula1>
          <xm:sqref>C3:E13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7">
    <tabColor rgb="FF00B0F0"/>
    <pageSetUpPr fitToPage="1"/>
  </sheetPr>
  <dimension ref="A1:J5"/>
  <sheetViews>
    <sheetView view="pageLayout" zoomScaleNormal="100" zoomScaleSheetLayoutView="100" workbookViewId="0">
      <selection activeCell="F5" sqref="F5"/>
    </sheetView>
  </sheetViews>
  <sheetFormatPr defaultColWidth="11.453125" defaultRowHeight="14.5"/>
  <cols>
    <col min="2" max="2" width="39.7265625" customWidth="1"/>
    <col min="6" max="6" width="32.54296875" customWidth="1"/>
    <col min="7" max="7" width="13" customWidth="1"/>
    <col min="8" max="8" width="9.26953125" customWidth="1"/>
    <col min="9" max="9" width="18.81640625" customWidth="1"/>
  </cols>
  <sheetData>
    <row r="1" spans="1:10" ht="45.75" customHeight="1">
      <c r="A1" s="8"/>
      <c r="B1" s="320"/>
      <c r="C1" s="320"/>
      <c r="D1" s="320"/>
      <c r="E1" s="323" t="s">
        <v>335</v>
      </c>
      <c r="F1" s="323"/>
      <c r="G1" s="323"/>
      <c r="H1" s="323"/>
      <c r="I1" s="1"/>
      <c r="J1" s="1"/>
    </row>
    <row r="2" spans="1:10" ht="59.25" customHeight="1">
      <c r="A2" s="120"/>
      <c r="B2" s="121" t="s">
        <v>61</v>
      </c>
      <c r="C2" s="121" t="s">
        <v>58</v>
      </c>
      <c r="D2" s="121" t="s">
        <v>0</v>
      </c>
      <c r="E2" s="121" t="s">
        <v>1</v>
      </c>
      <c r="F2" s="121" t="s">
        <v>57</v>
      </c>
      <c r="G2" s="121" t="s">
        <v>59</v>
      </c>
      <c r="H2" s="121" t="s">
        <v>60</v>
      </c>
      <c r="I2" s="122" t="s">
        <v>63</v>
      </c>
      <c r="J2" s="5" t="s">
        <v>4</v>
      </c>
    </row>
    <row r="3" spans="1:10" ht="72.5">
      <c r="A3" s="78">
        <v>1</v>
      </c>
      <c r="B3" s="3" t="s">
        <v>474</v>
      </c>
      <c r="C3" s="9" t="s">
        <v>22</v>
      </c>
      <c r="D3" s="9"/>
      <c r="E3" s="9"/>
      <c r="F3" s="3"/>
      <c r="G3" s="11" t="str">
        <f>+'Portada '!$A$17</f>
        <v>Process Engineer / PE</v>
      </c>
      <c r="H3" s="21"/>
      <c r="I3" s="327"/>
      <c r="J3" s="328"/>
    </row>
    <row r="4" spans="1:10" ht="43.5">
      <c r="A4" s="78">
        <v>2</v>
      </c>
      <c r="B4" s="3" t="s">
        <v>473</v>
      </c>
      <c r="C4" s="9" t="s">
        <v>22</v>
      </c>
      <c r="D4" s="9"/>
      <c r="E4" s="9"/>
      <c r="F4" s="3"/>
      <c r="G4" s="11" t="str">
        <f>+'Portada '!$A$17</f>
        <v>Process Engineer / PE</v>
      </c>
      <c r="H4" s="21"/>
      <c r="I4" s="321"/>
      <c r="J4" s="322"/>
    </row>
    <row r="5" spans="1:10" ht="29">
      <c r="A5" s="78">
        <v>3</v>
      </c>
      <c r="B5" s="47" t="s">
        <v>639</v>
      </c>
      <c r="C5" s="9"/>
      <c r="D5" s="9" t="s">
        <v>22</v>
      </c>
      <c r="E5" s="9"/>
      <c r="F5" s="3" t="s">
        <v>730</v>
      </c>
      <c r="G5" s="3" t="str">
        <f>+'Portada '!$A$17</f>
        <v>Process Engineer / PE</v>
      </c>
      <c r="H5" s="21"/>
      <c r="I5" s="19"/>
      <c r="J5" s="75"/>
    </row>
  </sheetData>
  <customSheetViews>
    <customSheetView guid="{0D2B2804-9719-4CF5-836A-6C18EF806972}" showPageBreaks="1" view="pageBreakPreview">
      <pane xSplit="2" ySplit="2" topLeftCell="C3" activePane="bottomRight" state="frozen"/>
      <selection pane="bottomRight" activeCell="C3" sqref="C3"/>
      <pageMargins left="0.7" right="0.7" top="0.75" bottom="0.75" header="0.3" footer="0.3"/>
      <pageSetup scale="53" orientation="portrait" r:id="rId1"/>
    </customSheetView>
    <customSheetView guid="{F51EB4BE-1505-43EE-8F62-937E5A5046CB}" showPageBreaks="1" view="pageBreakPreview">
      <pane xSplit="2" ySplit="2" topLeftCell="C3" activePane="bottomRight" state="frozen"/>
      <selection pane="bottomRight" activeCell="G3" sqref="G3:G4"/>
      <pageMargins left="0.7" right="0.7" top="0.75" bottom="0.75" header="0.3" footer="0.3"/>
      <pageSetup scale="54" orientation="portrait" r:id="rId2"/>
    </customSheetView>
  </customSheetViews>
  <mergeCells count="4">
    <mergeCell ref="B1:D1"/>
    <mergeCell ref="I3:J3"/>
    <mergeCell ref="I4:J4"/>
    <mergeCell ref="E1:H1"/>
  </mergeCells>
  <pageMargins left="0.17" right="0.3" top="0.31" bottom="0.27" header="0.22" footer="0.16"/>
  <pageSetup scale="78"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Misc!$E$3:$E$4</xm:f>
          </x14:formula1>
          <xm:sqref>C3:E5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8">
    <tabColor rgb="FF00B0F0"/>
    <pageSetUpPr fitToPage="1"/>
  </sheetPr>
  <dimension ref="A1:J15"/>
  <sheetViews>
    <sheetView view="pageLayout" topLeftCell="A11" zoomScale="83" zoomScaleNormal="100" zoomScaleSheetLayoutView="100" zoomScalePageLayoutView="83" workbookViewId="0">
      <selection activeCell="F5" sqref="F5"/>
    </sheetView>
  </sheetViews>
  <sheetFormatPr defaultColWidth="11.453125" defaultRowHeight="14.5"/>
  <cols>
    <col min="1" max="1" width="5.453125" customWidth="1"/>
    <col min="2" max="2" width="35.54296875" customWidth="1"/>
    <col min="3" max="3" width="8.54296875" customWidth="1"/>
    <col min="4" max="5" width="5.7265625" customWidth="1"/>
    <col min="6" max="6" width="33.81640625" customWidth="1"/>
    <col min="7" max="7" width="19.81640625" customWidth="1"/>
    <col min="10" max="10" width="11.453125" customWidth="1"/>
  </cols>
  <sheetData>
    <row r="1" spans="1:10" ht="45.75" customHeight="1">
      <c r="A1" s="8"/>
      <c r="B1" s="320"/>
      <c r="C1" s="320"/>
      <c r="D1" s="320"/>
      <c r="E1" s="323" t="s">
        <v>335</v>
      </c>
      <c r="F1" s="323"/>
      <c r="G1" s="323"/>
      <c r="H1" s="323"/>
      <c r="I1" s="1"/>
      <c r="J1" s="1"/>
    </row>
    <row r="2" spans="1:10" ht="91">
      <c r="A2" s="120"/>
      <c r="B2" s="121" t="s">
        <v>61</v>
      </c>
      <c r="C2" s="121" t="s">
        <v>58</v>
      </c>
      <c r="D2" s="121" t="s">
        <v>0</v>
      </c>
      <c r="E2" s="121" t="s">
        <v>1</v>
      </c>
      <c r="F2" s="121" t="s">
        <v>57</v>
      </c>
      <c r="G2" s="121" t="s">
        <v>59</v>
      </c>
      <c r="H2" s="121" t="s">
        <v>60</v>
      </c>
      <c r="I2" s="122" t="s">
        <v>63</v>
      </c>
      <c r="J2" s="4" t="s">
        <v>19</v>
      </c>
    </row>
    <row r="3" spans="1:10" ht="29">
      <c r="A3" s="78">
        <v>1</v>
      </c>
      <c r="B3" s="3" t="s">
        <v>636</v>
      </c>
      <c r="C3" s="102" t="s">
        <v>22</v>
      </c>
      <c r="D3" s="9"/>
      <c r="E3" s="13"/>
      <c r="F3" s="11"/>
      <c r="G3" s="13" t="str">
        <f>+'Portada '!$A$17</f>
        <v>Process Engineer / PE</v>
      </c>
      <c r="H3" s="21"/>
      <c r="I3" s="327"/>
      <c r="J3" s="328"/>
    </row>
    <row r="4" spans="1:10" ht="72.5">
      <c r="A4" s="78">
        <v>2</v>
      </c>
      <c r="B4" s="3" t="s">
        <v>637</v>
      </c>
      <c r="C4" s="102" t="s">
        <v>22</v>
      </c>
      <c r="D4" s="9"/>
      <c r="E4" s="13"/>
      <c r="F4" s="11"/>
      <c r="G4" s="13" t="str">
        <f>+'Portada '!$A$17</f>
        <v>Process Engineer / PE</v>
      </c>
      <c r="H4" s="21"/>
      <c r="I4" s="1"/>
      <c r="J4" s="1"/>
    </row>
    <row r="5" spans="1:10" ht="58">
      <c r="A5" s="78">
        <v>3</v>
      </c>
      <c r="B5" s="3" t="s">
        <v>475</v>
      </c>
      <c r="C5" s="102" t="s">
        <v>22</v>
      </c>
      <c r="D5" s="9"/>
      <c r="E5" s="13"/>
      <c r="F5" s="11"/>
      <c r="G5" s="13" t="str">
        <f>+'Portada '!$A$17</f>
        <v>Process Engineer / PE</v>
      </c>
      <c r="H5" s="21"/>
      <c r="I5" s="1"/>
      <c r="J5" s="1"/>
    </row>
    <row r="6" spans="1:10" ht="101.5">
      <c r="A6" s="78">
        <v>4</v>
      </c>
      <c r="B6" s="3" t="s">
        <v>483</v>
      </c>
      <c r="C6" s="102" t="s">
        <v>22</v>
      </c>
      <c r="D6" s="13"/>
      <c r="E6" s="13"/>
      <c r="F6" s="11"/>
      <c r="G6" s="13" t="str">
        <f>+'Portada '!$A$17</f>
        <v>Process Engineer / PE</v>
      </c>
      <c r="H6" s="21"/>
      <c r="I6" s="1"/>
      <c r="J6" s="1"/>
    </row>
    <row r="7" spans="1:10" ht="43.5">
      <c r="A7" s="78">
        <v>5</v>
      </c>
      <c r="B7" s="3" t="s">
        <v>479</v>
      </c>
      <c r="C7" s="102" t="s">
        <v>22</v>
      </c>
      <c r="D7" s="9"/>
      <c r="E7" s="13"/>
      <c r="F7" s="11"/>
      <c r="G7" s="13" t="str">
        <f>+'Portada '!$A$17</f>
        <v>Process Engineer / PE</v>
      </c>
      <c r="H7" s="21"/>
      <c r="I7" s="1"/>
      <c r="J7" s="1"/>
    </row>
    <row r="8" spans="1:10" ht="58">
      <c r="A8" s="78">
        <v>6</v>
      </c>
      <c r="B8" s="3" t="s">
        <v>487</v>
      </c>
      <c r="C8" s="102" t="s">
        <v>22</v>
      </c>
      <c r="D8" s="9"/>
      <c r="E8" s="13"/>
      <c r="F8" s="11"/>
      <c r="G8" s="13" t="str">
        <f>+'Portada '!$A$17</f>
        <v>Process Engineer / PE</v>
      </c>
      <c r="H8" s="21"/>
      <c r="I8" s="1"/>
      <c r="J8" s="1"/>
    </row>
    <row r="9" spans="1:10" ht="58">
      <c r="A9" s="78">
        <v>7</v>
      </c>
      <c r="B9" s="101" t="s">
        <v>488</v>
      </c>
      <c r="C9" s="102" t="s">
        <v>22</v>
      </c>
      <c r="D9" s="102"/>
      <c r="E9" s="103"/>
      <c r="F9" s="104"/>
      <c r="G9" s="13" t="str">
        <f>+'Portada '!$A$17</f>
        <v>Process Engineer / PE</v>
      </c>
      <c r="H9" s="105"/>
      <c r="I9" s="105"/>
      <c r="J9" s="105"/>
    </row>
    <row r="10" spans="1:10" ht="58">
      <c r="A10" s="78">
        <v>8</v>
      </c>
      <c r="B10" s="101" t="s">
        <v>486</v>
      </c>
      <c r="C10" s="102" t="s">
        <v>22</v>
      </c>
      <c r="D10" s="102"/>
      <c r="E10" s="103"/>
      <c r="F10" s="104"/>
      <c r="G10" s="13" t="str">
        <f>+'Portada '!$A$17</f>
        <v>Process Engineer / PE</v>
      </c>
      <c r="H10" s="105"/>
      <c r="I10" s="105"/>
      <c r="J10" s="105"/>
    </row>
    <row r="11" spans="1:10" ht="58">
      <c r="A11" s="78">
        <v>9</v>
      </c>
      <c r="B11" s="101" t="s">
        <v>638</v>
      </c>
      <c r="C11" s="102" t="s">
        <v>22</v>
      </c>
      <c r="D11" s="102"/>
      <c r="E11" s="103"/>
      <c r="F11" s="104"/>
      <c r="G11" s="13" t="str">
        <f>+'Portada '!$A$17</f>
        <v>Process Engineer / PE</v>
      </c>
      <c r="H11" s="105"/>
      <c r="I11" s="105"/>
      <c r="J11" s="105"/>
    </row>
    <row r="12" spans="1:10" ht="72.5">
      <c r="A12" s="78">
        <v>10</v>
      </c>
      <c r="B12" s="101" t="s">
        <v>489</v>
      </c>
      <c r="C12" s="102" t="s">
        <v>22</v>
      </c>
      <c r="D12" s="102"/>
      <c r="E12" s="103"/>
      <c r="F12" s="104"/>
      <c r="G12" s="13" t="str">
        <f>+'Portada '!$A$17</f>
        <v>Process Engineer / PE</v>
      </c>
      <c r="H12" s="105"/>
      <c r="I12" s="105"/>
      <c r="J12" s="105"/>
    </row>
    <row r="13" spans="1:10" ht="43.5">
      <c r="A13" s="78">
        <v>11</v>
      </c>
      <c r="B13" s="101" t="s">
        <v>490</v>
      </c>
      <c r="C13" s="102" t="s">
        <v>22</v>
      </c>
      <c r="D13" s="102"/>
      <c r="E13" s="103"/>
      <c r="F13" s="104"/>
      <c r="G13" s="13" t="str">
        <f>+'Portada '!$A$17</f>
        <v>Process Engineer / PE</v>
      </c>
      <c r="H13" s="105"/>
      <c r="I13" s="105"/>
      <c r="J13" s="105"/>
    </row>
    <row r="14" spans="1:10" ht="43.5">
      <c r="A14" s="78">
        <v>12</v>
      </c>
      <c r="B14" s="101" t="s">
        <v>388</v>
      </c>
      <c r="C14" s="102" t="s">
        <v>22</v>
      </c>
      <c r="D14" s="102"/>
      <c r="E14" s="103"/>
      <c r="F14" s="104"/>
      <c r="G14" s="13" t="str">
        <f>+'Portada '!$A$17</f>
        <v>Process Engineer / PE</v>
      </c>
      <c r="H14" s="105"/>
      <c r="I14" s="105"/>
      <c r="J14" s="105"/>
    </row>
    <row r="15" spans="1:10" ht="29">
      <c r="A15" s="78">
        <v>13</v>
      </c>
      <c r="B15" s="101" t="s">
        <v>639</v>
      </c>
      <c r="C15" s="102" t="s">
        <v>22</v>
      </c>
      <c r="D15" s="102"/>
      <c r="E15" s="103"/>
      <c r="F15" s="104"/>
      <c r="G15" s="13" t="str">
        <f>+'Portada '!$A$17</f>
        <v>Process Engineer / PE</v>
      </c>
      <c r="H15" s="105"/>
      <c r="I15" s="105"/>
      <c r="J15" s="105"/>
    </row>
  </sheetData>
  <customSheetViews>
    <customSheetView guid="{0D2B2804-9719-4CF5-836A-6C18EF806972}" showPageBreaks="1" printArea="1" view="pageBreakPreview">
      <pane xSplit="2" ySplit="2" topLeftCell="C3" activePane="bottomRight" state="frozen"/>
      <selection pane="bottomRight" activeCell="C3" sqref="C3"/>
      <colBreaks count="1" manualBreakCount="1">
        <brk id="10" max="16" man="1"/>
      </colBreaks>
      <pageMargins left="0.7" right="0.7" top="0.75" bottom="0.75" header="0.3" footer="0.3"/>
      <pageSetup scale="46" orientation="portrait" r:id="rId1"/>
    </customSheetView>
    <customSheetView guid="{F51EB4BE-1505-43EE-8F62-937E5A5046CB}" showPageBreaks="1" printArea="1" view="pageBreakPreview">
      <pane xSplit="2" ySplit="2" topLeftCell="C15" activePane="bottomRight" state="frozen"/>
      <selection pane="bottomRight" activeCell="G3" sqref="G3:G16"/>
      <colBreaks count="1" manualBreakCount="1">
        <brk id="10" max="16" man="1"/>
      </colBreaks>
      <pageMargins left="0.7" right="0.7" top="0.75" bottom="0.75" header="0.3" footer="0.3"/>
      <pageSetup scale="48" orientation="portrait" r:id="rId2"/>
    </customSheetView>
  </customSheetViews>
  <mergeCells count="3">
    <mergeCell ref="B1:D1"/>
    <mergeCell ref="I3:J3"/>
    <mergeCell ref="E1:H1"/>
  </mergeCells>
  <conditionalFormatting sqref="C16:C23">
    <cfRule type="cellIs" dxfId="11" priority="1" operator="equal">
      <formula>"NG"</formula>
    </cfRule>
    <cfRule type="cellIs" dxfId="10" priority="2" operator="equal">
      <formula>"OK"</formula>
    </cfRule>
  </conditionalFormatting>
  <pageMargins left="0.17" right="0.3" top="0.31" bottom="0.27" header="0.22" footer="0.16"/>
  <pageSetup scale="90" fitToHeight="0" orientation="landscape" r:id="rId3"/>
  <headerFooter alignWithMargins="0">
    <oddHeader xml:space="preserve">&amp;L
&amp;C
</oddHeader>
    <oddFooter>&amp;RF7100 Rev. 20/10/2020</oddFooter>
  </headerFooter>
  <colBreaks count="1" manualBreakCount="1">
    <brk id="10" max="1048575" man="1"/>
  </colBreaks>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Misc!$E$3:$E$4</xm:f>
          </x14:formula1>
          <xm:sqref>C3:E15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tabColor rgb="FF00B0F0"/>
    <pageSetUpPr fitToPage="1"/>
  </sheetPr>
  <dimension ref="A1:J14"/>
  <sheetViews>
    <sheetView view="pageLayout" zoomScaleNormal="100" zoomScaleSheetLayoutView="100" workbookViewId="0">
      <selection activeCell="F5" sqref="F5"/>
    </sheetView>
  </sheetViews>
  <sheetFormatPr defaultColWidth="11.453125" defaultRowHeight="14.5"/>
  <cols>
    <col min="1" max="1" width="5.7265625" customWidth="1"/>
    <col min="2" max="2" width="42.26953125" customWidth="1"/>
    <col min="3" max="3" width="8.7265625" customWidth="1"/>
    <col min="4" max="5" width="5.81640625" customWidth="1"/>
    <col min="6" max="6" width="32.7265625" customWidth="1"/>
    <col min="7" max="7" width="17.26953125" customWidth="1"/>
    <col min="8" max="8" width="13.7265625" bestFit="1" customWidth="1"/>
    <col min="9" max="9" width="15.26953125" customWidth="1"/>
  </cols>
  <sheetData>
    <row r="1" spans="1:10" ht="45.75" customHeight="1">
      <c r="A1" s="8"/>
      <c r="B1" s="320"/>
      <c r="C1" s="320"/>
      <c r="D1" s="320"/>
      <c r="E1" s="323" t="s">
        <v>335</v>
      </c>
      <c r="F1" s="323"/>
      <c r="G1" s="323"/>
      <c r="H1" s="323"/>
      <c r="I1" s="1"/>
      <c r="J1" s="1"/>
    </row>
    <row r="2" spans="1:10" ht="64.5" customHeight="1">
      <c r="A2" s="120"/>
      <c r="B2" s="121" t="s">
        <v>61</v>
      </c>
      <c r="C2" s="121" t="s">
        <v>58</v>
      </c>
      <c r="D2" s="121" t="s">
        <v>0</v>
      </c>
      <c r="E2" s="121" t="s">
        <v>1</v>
      </c>
      <c r="F2" s="121" t="s">
        <v>57</v>
      </c>
      <c r="G2" s="121" t="s">
        <v>59</v>
      </c>
      <c r="H2" s="121" t="s">
        <v>60</v>
      </c>
      <c r="I2" s="122" t="s">
        <v>63</v>
      </c>
      <c r="J2" s="5" t="s">
        <v>3</v>
      </c>
    </row>
    <row r="3" spans="1:10" ht="58">
      <c r="A3" s="78">
        <v>1</v>
      </c>
      <c r="B3" s="47" t="s">
        <v>482</v>
      </c>
      <c r="C3" s="9" t="s">
        <v>22</v>
      </c>
      <c r="D3" s="13"/>
      <c r="E3" s="13"/>
      <c r="F3" s="11"/>
      <c r="G3" s="11" t="str">
        <f>+'Portada '!$A$16</f>
        <v>Ingeniero de Calidad / QE</v>
      </c>
      <c r="H3" s="21"/>
      <c r="I3" s="321"/>
      <c r="J3" s="322"/>
    </row>
    <row r="4" spans="1:10" ht="72.5">
      <c r="A4" s="78">
        <v>2</v>
      </c>
      <c r="B4" s="160" t="s">
        <v>389</v>
      </c>
      <c r="C4" s="9" t="s">
        <v>22</v>
      </c>
      <c r="D4" s="9"/>
      <c r="E4" s="13"/>
      <c r="F4" s="11"/>
      <c r="G4" s="11" t="str">
        <f>+'Portada '!$A$16</f>
        <v>Ingeniero de Calidad / QE</v>
      </c>
      <c r="H4" s="21"/>
      <c r="I4" s="19"/>
      <c r="J4" s="19"/>
    </row>
    <row r="5" spans="1:10" ht="58">
      <c r="A5" s="78">
        <v>3</v>
      </c>
      <c r="B5" s="47" t="s">
        <v>477</v>
      </c>
      <c r="C5" s="9" t="s">
        <v>22</v>
      </c>
      <c r="D5" s="9"/>
      <c r="E5" s="13"/>
      <c r="F5" s="11"/>
      <c r="G5" s="11" t="str">
        <f>+'Portada '!$A$16</f>
        <v>Ingeniero de Calidad / QE</v>
      </c>
      <c r="H5" s="21"/>
      <c r="I5" s="19"/>
      <c r="J5" s="19"/>
    </row>
    <row r="6" spans="1:10" ht="58">
      <c r="A6" s="78">
        <v>4</v>
      </c>
      <c r="B6" s="47" t="s">
        <v>478</v>
      </c>
      <c r="C6" s="9" t="s">
        <v>22</v>
      </c>
      <c r="D6" s="9"/>
      <c r="E6" s="13"/>
      <c r="F6" s="11"/>
      <c r="G6" s="11" t="str">
        <f>+'Portada '!$A$16</f>
        <v>Ingeniero de Calidad / QE</v>
      </c>
      <c r="H6" s="21"/>
      <c r="I6" s="1"/>
      <c r="J6" s="1"/>
    </row>
    <row r="7" spans="1:10" ht="43.5">
      <c r="A7" s="78">
        <v>5</v>
      </c>
      <c r="B7" s="47" t="s">
        <v>543</v>
      </c>
      <c r="C7" s="9" t="s">
        <v>22</v>
      </c>
      <c r="D7" s="9"/>
      <c r="E7" s="13"/>
      <c r="F7" s="11"/>
      <c r="G7" s="11" t="str">
        <f>+'Portada '!$A$16</f>
        <v>Ingeniero de Calidad / QE</v>
      </c>
      <c r="H7" s="21"/>
      <c r="I7" s="1"/>
      <c r="J7" s="1"/>
    </row>
    <row r="8" spans="1:10" ht="43.5">
      <c r="A8" s="78">
        <v>6</v>
      </c>
      <c r="B8" s="47" t="s">
        <v>480</v>
      </c>
      <c r="C8" s="9" t="s">
        <v>22</v>
      </c>
      <c r="D8" s="9"/>
      <c r="E8" s="13"/>
      <c r="F8" s="11"/>
      <c r="G8" s="11" t="str">
        <f>+'Portada '!$A$16</f>
        <v>Ingeniero de Calidad / QE</v>
      </c>
      <c r="H8" s="21"/>
      <c r="I8" s="1"/>
      <c r="J8" s="1"/>
    </row>
    <row r="9" spans="1:10" ht="43.5">
      <c r="A9" s="78">
        <v>7</v>
      </c>
      <c r="B9" s="47" t="s">
        <v>479</v>
      </c>
      <c r="C9" s="9" t="s">
        <v>22</v>
      </c>
      <c r="D9" s="9"/>
      <c r="E9" s="13"/>
      <c r="F9" s="11"/>
      <c r="G9" s="11" t="str">
        <f>+'Portada '!$A$16</f>
        <v>Ingeniero de Calidad / QE</v>
      </c>
      <c r="H9" s="21"/>
      <c r="I9" s="1"/>
      <c r="J9" s="1"/>
    </row>
    <row r="10" spans="1:10" ht="87">
      <c r="A10" s="78">
        <v>8</v>
      </c>
      <c r="B10" s="47" t="s">
        <v>483</v>
      </c>
      <c r="C10" s="9" t="s">
        <v>22</v>
      </c>
      <c r="D10" s="9"/>
      <c r="E10" s="13"/>
      <c r="F10" s="11"/>
      <c r="G10" s="11" t="str">
        <f>+'Portada '!$A$16</f>
        <v>Ingeniero de Calidad / QE</v>
      </c>
      <c r="H10" s="21"/>
      <c r="I10" s="1"/>
      <c r="J10" s="1"/>
    </row>
    <row r="11" spans="1:10" ht="43.5">
      <c r="A11" s="78">
        <v>9</v>
      </c>
      <c r="B11" s="47" t="s">
        <v>484</v>
      </c>
      <c r="C11" s="9" t="s">
        <v>22</v>
      </c>
      <c r="D11" s="9"/>
      <c r="E11" s="13"/>
      <c r="F11" s="11"/>
      <c r="G11" s="11" t="str">
        <f>+'Portada '!$A$16</f>
        <v>Ingeniero de Calidad / QE</v>
      </c>
      <c r="H11" s="21"/>
      <c r="I11" s="1"/>
      <c r="J11" s="1"/>
    </row>
    <row r="12" spans="1:10" ht="43.5">
      <c r="A12" s="78">
        <v>10</v>
      </c>
      <c r="B12" s="47" t="s">
        <v>485</v>
      </c>
      <c r="C12" s="9" t="s">
        <v>22</v>
      </c>
      <c r="D12" s="9"/>
      <c r="E12" s="13"/>
      <c r="F12" s="11"/>
      <c r="G12" s="11" t="str">
        <f>+'Portada '!$A$16</f>
        <v>Ingeniero de Calidad / QE</v>
      </c>
      <c r="H12" s="21"/>
      <c r="I12" s="1"/>
      <c r="J12" s="1"/>
    </row>
    <row r="13" spans="1:10" ht="72.5">
      <c r="A13" s="100"/>
      <c r="B13" s="160" t="s">
        <v>390</v>
      </c>
      <c r="C13" s="9" t="s">
        <v>22</v>
      </c>
      <c r="D13" s="102"/>
      <c r="E13" s="103"/>
      <c r="F13" s="104"/>
      <c r="G13" s="11" t="str">
        <f>+'Portada '!$A$16</f>
        <v>Ingeniero de Calidad / QE</v>
      </c>
      <c r="H13" s="105"/>
      <c r="I13" s="329"/>
      <c r="J13" s="330"/>
    </row>
    <row r="14" spans="1:10" ht="29">
      <c r="A14" s="78">
        <v>12</v>
      </c>
      <c r="B14" s="160" t="s">
        <v>639</v>
      </c>
      <c r="C14" s="102" t="s">
        <v>22</v>
      </c>
      <c r="D14" s="102"/>
      <c r="E14" s="103"/>
      <c r="F14" s="104"/>
      <c r="G14" s="11" t="str">
        <f>+'Portada '!$A$17</f>
        <v>Process Engineer / PE</v>
      </c>
      <c r="H14" s="105"/>
      <c r="I14" s="329"/>
      <c r="J14" s="330"/>
    </row>
  </sheetData>
  <customSheetViews>
    <customSheetView guid="{0D2B2804-9719-4CF5-836A-6C18EF806972}" showPageBreaks="1" printArea="1" view="pageBreakPreview">
      <selection activeCell="E3" sqref="E3"/>
      <colBreaks count="1" manualBreakCount="1">
        <brk id="10" max="13" man="1"/>
      </colBreaks>
      <pageMargins left="0.7" right="0.7" top="0.75" bottom="0.75" header="0.3" footer="0.3"/>
      <pageSetup scale="56" orientation="portrait" r:id="rId1"/>
    </customSheetView>
    <customSheetView guid="{F51EB4BE-1505-43EE-8F62-937E5A5046CB}" showPageBreaks="1" printArea="1" view="pageBreakPreview">
      <selection activeCell="G3" sqref="G3:G13"/>
      <colBreaks count="1" manualBreakCount="1">
        <brk id="10" max="13" man="1"/>
      </colBreaks>
      <pageMargins left="0.7" right="0.7" top="0.75" bottom="0.75" header="0.3" footer="0.3"/>
      <pageSetup scale="58" orientation="portrait" r:id="rId2"/>
    </customSheetView>
  </customSheetViews>
  <mergeCells count="5">
    <mergeCell ref="B1:D1"/>
    <mergeCell ref="I3:J3"/>
    <mergeCell ref="E1:H1"/>
    <mergeCell ref="I13:J13"/>
    <mergeCell ref="I14:J14"/>
  </mergeCells>
  <conditionalFormatting sqref="C15:C28">
    <cfRule type="cellIs" dxfId="9" priority="1" operator="equal">
      <formula>"NG"</formula>
    </cfRule>
    <cfRule type="cellIs" dxfId="8" priority="2" operator="equal">
      <formula>"OK"</formula>
    </cfRule>
  </conditionalFormatting>
  <pageMargins left="0.17" right="0.3" top="0.31" bottom="0.27" header="0.22" footer="0.16"/>
  <pageSetup scale="73" fitToHeight="0" orientation="landscape" r:id="rId3"/>
  <headerFooter alignWithMargins="0">
    <oddHeader xml:space="preserve">&amp;L
&amp;C
</oddHeader>
    <oddFooter>&amp;RF7100 Rev. 20/10/2020</oddFooter>
  </headerFooter>
  <colBreaks count="1" manualBreakCount="1">
    <brk id="10" max="13" man="1"/>
  </colBreaks>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Misc!$E$3:$E$4</xm:f>
          </x14:formula1>
          <xm:sqref>C3:E14</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0">
    <tabColor rgb="FF00B0F0"/>
    <pageSetUpPr fitToPage="1"/>
  </sheetPr>
  <dimension ref="A1:P14"/>
  <sheetViews>
    <sheetView view="pageLayout" topLeftCell="B2" zoomScale="85" zoomScaleNormal="100" zoomScaleSheetLayoutView="100" zoomScalePageLayoutView="85" workbookViewId="0">
      <selection activeCell="F5" sqref="F5"/>
    </sheetView>
  </sheetViews>
  <sheetFormatPr defaultColWidth="11.453125" defaultRowHeight="14.5"/>
  <cols>
    <col min="1" max="1" width="5.54296875" customWidth="1"/>
    <col min="2" max="2" width="42.81640625" customWidth="1"/>
    <col min="3" max="11" width="7.1796875" customWidth="1"/>
    <col min="12" max="12" width="38.54296875" customWidth="1"/>
    <col min="13" max="13" width="14.54296875" customWidth="1"/>
    <col min="14" max="14" width="13.7265625" bestFit="1" customWidth="1"/>
  </cols>
  <sheetData>
    <row r="1" spans="1:16" ht="45.75" customHeight="1" thickBot="1">
      <c r="A1" s="8"/>
      <c r="B1" s="320"/>
      <c r="C1" s="320"/>
      <c r="D1" s="320"/>
      <c r="E1" s="320"/>
      <c r="F1" s="320"/>
      <c r="G1" s="166"/>
      <c r="H1" s="166"/>
      <c r="I1" s="338" t="s">
        <v>335</v>
      </c>
      <c r="J1" s="338"/>
      <c r="K1" s="338"/>
      <c r="L1" s="323"/>
      <c r="M1" s="323"/>
      <c r="N1" s="323"/>
      <c r="O1" s="1"/>
      <c r="P1" s="1"/>
    </row>
    <row r="2" spans="1:16" ht="78">
      <c r="A2" s="331"/>
      <c r="B2" s="333" t="s">
        <v>61</v>
      </c>
      <c r="C2" s="335" t="s">
        <v>58</v>
      </c>
      <c r="D2" s="336"/>
      <c r="E2" s="337"/>
      <c r="F2" s="335" t="s">
        <v>0</v>
      </c>
      <c r="G2" s="336"/>
      <c r="H2" s="337"/>
      <c r="I2" s="335" t="s">
        <v>1</v>
      </c>
      <c r="J2" s="336"/>
      <c r="K2" s="337"/>
      <c r="L2" s="339" t="s">
        <v>57</v>
      </c>
      <c r="M2" s="341" t="s">
        <v>59</v>
      </c>
      <c r="N2" s="341" t="s">
        <v>60</v>
      </c>
      <c r="O2" s="343" t="s">
        <v>63</v>
      </c>
      <c r="P2" s="4" t="s">
        <v>64</v>
      </c>
    </row>
    <row r="3" spans="1:16" ht="71.25" customHeight="1">
      <c r="A3" s="332"/>
      <c r="B3" s="334"/>
      <c r="C3" s="171" t="s">
        <v>496</v>
      </c>
      <c r="D3" s="168" t="s">
        <v>497</v>
      </c>
      <c r="E3" s="172" t="s">
        <v>498</v>
      </c>
      <c r="F3" s="171" t="s">
        <v>496</v>
      </c>
      <c r="G3" s="168" t="s">
        <v>497</v>
      </c>
      <c r="H3" s="172" t="s">
        <v>498</v>
      </c>
      <c r="I3" s="171" t="s">
        <v>496</v>
      </c>
      <c r="J3" s="168" t="s">
        <v>497</v>
      </c>
      <c r="K3" s="172" t="s">
        <v>498</v>
      </c>
      <c r="L3" s="340"/>
      <c r="M3" s="342"/>
      <c r="N3" s="342"/>
      <c r="O3" s="344"/>
      <c r="P3" s="167"/>
    </row>
    <row r="4" spans="1:16" ht="43.5">
      <c r="A4" s="78">
        <v>1</v>
      </c>
      <c r="B4" s="169" t="s">
        <v>653</v>
      </c>
      <c r="C4" s="173" t="s">
        <v>22</v>
      </c>
      <c r="D4" s="65" t="s">
        <v>22</v>
      </c>
      <c r="E4" s="174" t="s">
        <v>22</v>
      </c>
      <c r="F4" s="177"/>
      <c r="G4" s="9"/>
      <c r="H4" s="178"/>
      <c r="I4" s="180"/>
      <c r="J4" s="13"/>
      <c r="K4" s="181"/>
      <c r="L4" s="179"/>
      <c r="M4" s="11" t="s">
        <v>502</v>
      </c>
      <c r="N4" s="21"/>
      <c r="O4" s="321"/>
      <c r="P4" s="322"/>
    </row>
    <row r="5" spans="1:16" ht="43.5">
      <c r="A5" s="78">
        <v>2</v>
      </c>
      <c r="B5" s="169" t="s">
        <v>499</v>
      </c>
      <c r="C5" s="173" t="s">
        <v>22</v>
      </c>
      <c r="D5" s="65" t="s">
        <v>22</v>
      </c>
      <c r="E5" s="174" t="s">
        <v>22</v>
      </c>
      <c r="F5" s="177"/>
      <c r="G5" s="9"/>
      <c r="H5" s="178"/>
      <c r="I5" s="180"/>
      <c r="J5" s="13"/>
      <c r="K5" s="181"/>
      <c r="L5" s="179"/>
      <c r="M5" s="11" t="s">
        <v>502</v>
      </c>
      <c r="N5" s="21"/>
      <c r="O5" s="19"/>
      <c r="P5" s="19"/>
    </row>
    <row r="6" spans="1:16" ht="29">
      <c r="A6" s="78">
        <v>3</v>
      </c>
      <c r="B6" s="170" t="s">
        <v>491</v>
      </c>
      <c r="C6" s="173" t="s">
        <v>22</v>
      </c>
      <c r="D6" s="65" t="s">
        <v>22</v>
      </c>
      <c r="E6" s="175"/>
      <c r="F6" s="177"/>
      <c r="G6" s="9"/>
      <c r="H6" s="175"/>
      <c r="I6" s="180"/>
      <c r="J6" s="13"/>
      <c r="K6" s="181"/>
      <c r="L6" s="179"/>
      <c r="M6" s="11" t="s">
        <v>502</v>
      </c>
      <c r="N6" s="21"/>
      <c r="O6" s="1"/>
      <c r="P6" s="1"/>
    </row>
    <row r="7" spans="1:16" ht="58">
      <c r="A7" s="78">
        <v>4</v>
      </c>
      <c r="B7" s="169" t="s">
        <v>500</v>
      </c>
      <c r="C7" s="173" t="s">
        <v>22</v>
      </c>
      <c r="D7" s="65" t="s">
        <v>22</v>
      </c>
      <c r="E7" s="174" t="s">
        <v>22</v>
      </c>
      <c r="F7" s="177"/>
      <c r="G7" s="9"/>
      <c r="H7" s="178"/>
      <c r="I7" s="180"/>
      <c r="J7" s="13"/>
      <c r="K7" s="181"/>
      <c r="L7" s="179"/>
      <c r="M7" s="11" t="s">
        <v>502</v>
      </c>
      <c r="N7" s="21"/>
      <c r="O7" s="1"/>
      <c r="P7" s="1"/>
    </row>
    <row r="8" spans="1:16" ht="58">
      <c r="A8" s="78">
        <v>5</v>
      </c>
      <c r="B8" s="169" t="s">
        <v>492</v>
      </c>
      <c r="C8" s="173" t="s">
        <v>22</v>
      </c>
      <c r="D8" s="65" t="s">
        <v>22</v>
      </c>
      <c r="E8" s="175"/>
      <c r="F8" s="177"/>
      <c r="G8" s="9"/>
      <c r="H8" s="175"/>
      <c r="I8" s="180"/>
      <c r="J8" s="13"/>
      <c r="K8" s="181"/>
      <c r="L8" s="179"/>
      <c r="M8" s="11" t="s">
        <v>502</v>
      </c>
      <c r="N8" s="21"/>
      <c r="O8" s="1"/>
      <c r="P8" s="1"/>
    </row>
    <row r="9" spans="1:16" ht="58">
      <c r="A9" s="78">
        <v>6</v>
      </c>
      <c r="B9" s="169" t="s">
        <v>493</v>
      </c>
      <c r="C9" s="173" t="s">
        <v>22</v>
      </c>
      <c r="D9" s="65" t="s">
        <v>22</v>
      </c>
      <c r="E9" s="174" t="s">
        <v>22</v>
      </c>
      <c r="F9" s="177"/>
      <c r="G9" s="9"/>
      <c r="H9" s="178"/>
      <c r="I9" s="180"/>
      <c r="J9" s="13"/>
      <c r="K9" s="181"/>
      <c r="L9" s="179"/>
      <c r="M9" s="11" t="s">
        <v>502</v>
      </c>
      <c r="N9" s="21"/>
      <c r="O9" s="1"/>
      <c r="P9" s="1"/>
    </row>
    <row r="10" spans="1:16" ht="29">
      <c r="A10" s="78">
        <v>7</v>
      </c>
      <c r="B10" s="170" t="s">
        <v>495</v>
      </c>
      <c r="C10" s="173" t="s">
        <v>22</v>
      </c>
      <c r="D10" s="65" t="s">
        <v>22</v>
      </c>
      <c r="E10" s="174" t="s">
        <v>22</v>
      </c>
      <c r="F10" s="177"/>
      <c r="G10" s="9"/>
      <c r="H10" s="178"/>
      <c r="I10" s="180"/>
      <c r="J10" s="13"/>
      <c r="K10" s="181"/>
      <c r="L10" s="179"/>
      <c r="M10" s="11" t="s">
        <v>502</v>
      </c>
      <c r="N10" s="21"/>
      <c r="O10" s="1"/>
      <c r="P10" s="1"/>
    </row>
    <row r="11" spans="1:16" ht="43.5">
      <c r="A11" s="78">
        <v>8</v>
      </c>
      <c r="B11" s="169" t="s">
        <v>494</v>
      </c>
      <c r="C11" s="173" t="s">
        <v>22</v>
      </c>
      <c r="D11" s="65" t="s">
        <v>22</v>
      </c>
      <c r="E11" s="174" t="s">
        <v>22</v>
      </c>
      <c r="F11" s="177"/>
      <c r="G11" s="9"/>
      <c r="H11" s="178"/>
      <c r="I11" s="180"/>
      <c r="J11" s="13"/>
      <c r="K11" s="181"/>
      <c r="L11" s="179"/>
      <c r="M11" s="11" t="s">
        <v>502</v>
      </c>
      <c r="N11" s="21"/>
      <c r="O11" s="1"/>
      <c r="P11" s="1"/>
    </row>
    <row r="12" spans="1:16" ht="43.5">
      <c r="A12" s="78">
        <v>9</v>
      </c>
      <c r="B12" s="169" t="s">
        <v>501</v>
      </c>
      <c r="C12" s="173" t="s">
        <v>22</v>
      </c>
      <c r="D12" s="65" t="s">
        <v>22</v>
      </c>
      <c r="E12" s="174" t="s">
        <v>22</v>
      </c>
      <c r="F12" s="177"/>
      <c r="G12" s="9"/>
      <c r="H12" s="178"/>
      <c r="I12" s="180"/>
      <c r="J12" s="13"/>
      <c r="K12" s="181"/>
      <c r="L12" s="179"/>
      <c r="M12" s="11" t="s">
        <v>502</v>
      </c>
      <c r="N12" s="21"/>
      <c r="O12" s="1"/>
      <c r="P12" s="1"/>
    </row>
    <row r="13" spans="1:16" ht="43.5">
      <c r="A13" s="78">
        <v>10</v>
      </c>
      <c r="B13" s="170" t="s">
        <v>606</v>
      </c>
      <c r="C13" s="202"/>
      <c r="D13" s="174" t="s">
        <v>22</v>
      </c>
      <c r="E13" s="174" t="s">
        <v>22</v>
      </c>
      <c r="F13" s="200"/>
      <c r="G13" s="9"/>
      <c r="H13" s="174"/>
      <c r="I13" s="199"/>
      <c r="J13" s="201"/>
      <c r="K13" s="181"/>
      <c r="L13" s="179"/>
      <c r="M13" s="11" t="s">
        <v>607</v>
      </c>
      <c r="N13" s="21"/>
      <c r="O13" s="1"/>
      <c r="P13" s="1"/>
    </row>
    <row r="14" spans="1:16" ht="73" thickBot="1">
      <c r="A14" s="78">
        <v>11</v>
      </c>
      <c r="B14" s="170" t="s">
        <v>510</v>
      </c>
      <c r="C14" s="176"/>
      <c r="D14" s="192" t="s">
        <v>22</v>
      </c>
      <c r="E14" s="193"/>
      <c r="F14" s="194"/>
      <c r="G14" s="195"/>
      <c r="H14" s="193"/>
      <c r="I14" s="196"/>
      <c r="J14" s="197"/>
      <c r="K14" s="198"/>
      <c r="L14" s="179"/>
      <c r="M14" s="11" t="s">
        <v>533</v>
      </c>
      <c r="N14" s="21"/>
      <c r="O14" s="1"/>
      <c r="P14" s="1"/>
    </row>
  </sheetData>
  <customSheetViews>
    <customSheetView guid="{0D2B2804-9719-4CF5-836A-6C18EF806972}" showPageBreaks="1" printArea="1" view="pageBreakPreview">
      <colBreaks count="1" manualBreakCount="1">
        <brk id="16" max="23" man="1"/>
      </colBreaks>
      <pageMargins left="0.7" right="0.7" top="0.75" bottom="0.75" header="0.3" footer="0.3"/>
      <pageSetup scale="44" orientation="portrait" r:id="rId1"/>
    </customSheetView>
    <customSheetView guid="{F51EB4BE-1505-43EE-8F62-937E5A5046CB}" showPageBreaks="1" printArea="1" view="pageBreakPreview">
      <colBreaks count="1" manualBreakCount="1">
        <brk id="10" max="23" man="1"/>
      </colBreaks>
      <pageMargins left="0.7" right="0.7" top="0.75" bottom="0.75" header="0.3" footer="0.3"/>
      <pageSetup scale="48" orientation="portrait" r:id="rId2"/>
    </customSheetView>
  </customSheetViews>
  <mergeCells count="12">
    <mergeCell ref="B1:F1"/>
    <mergeCell ref="O4:P4"/>
    <mergeCell ref="I1:N1"/>
    <mergeCell ref="L2:L3"/>
    <mergeCell ref="M2:M3"/>
    <mergeCell ref="N2:N3"/>
    <mergeCell ref="O2:O3"/>
    <mergeCell ref="A2:A3"/>
    <mergeCell ref="B2:B3"/>
    <mergeCell ref="C2:E2"/>
    <mergeCell ref="F2:H2"/>
    <mergeCell ref="I2:K2"/>
  </mergeCells>
  <conditionalFormatting sqref="C15:E52">
    <cfRule type="cellIs" dxfId="7" priority="1" operator="equal">
      <formula>"NG"</formula>
    </cfRule>
    <cfRule type="cellIs" dxfId="6" priority="2" operator="equal">
      <formula>"OK"</formula>
    </cfRule>
  </conditionalFormatting>
  <pageMargins left="0.17" right="0.3" top="0.31" bottom="0.27" header="0.22" footer="0.16"/>
  <pageSetup scale="66" fitToHeight="0" orientation="landscape" r:id="rId3"/>
  <headerFooter alignWithMargins="0">
    <oddHeader xml:space="preserve">&amp;L
&amp;C
</oddHeader>
    <oddFooter>&amp;RF7100 Rev. 20/10/2020</oddFooter>
  </headerFooter>
  <colBreaks count="1" manualBreakCount="1">
    <brk id="16" max="1048575" man="1"/>
  </colBreaks>
  <drawing r:id="rId4"/>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D00-000000000000}">
          <x14:formula1>
            <xm:f>Misc!$E$3:$E$4</xm:f>
          </x14:formula1>
          <xm:sqref>C4:K12 C14:K14 I13 D13:E13</xm:sqref>
        </x14:dataValidation>
        <x14:dataValidation type="list" allowBlank="1" showInputMessage="1" showErrorMessage="1" xr:uid="{00000000-0002-0000-0D00-000001000000}">
          <x14:formula1>
            <xm:f>'X:\PROJECTS\Formats\[CHECKLIST APQP.xlsm]Misc'!#REF!</xm:f>
          </x14:formula1>
          <xm:sqref>F13:H13 J13:K13 C13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1">
    <tabColor rgb="FF00B0F0"/>
    <pageSetUpPr fitToPage="1"/>
  </sheetPr>
  <dimension ref="A1:J6"/>
  <sheetViews>
    <sheetView view="pageLayout" topLeftCell="A5" zoomScaleNormal="100" zoomScaleSheetLayoutView="100" workbookViewId="0">
      <selection activeCell="F5" sqref="F5"/>
    </sheetView>
  </sheetViews>
  <sheetFormatPr defaultColWidth="11.453125" defaultRowHeight="14.5"/>
  <cols>
    <col min="1" max="1" width="6.26953125" customWidth="1"/>
    <col min="2" max="2" width="45.1796875" customWidth="1"/>
    <col min="6" max="6" width="37.453125" customWidth="1"/>
    <col min="7" max="7" width="17" customWidth="1"/>
    <col min="8" max="8" width="13.7265625" bestFit="1" customWidth="1"/>
  </cols>
  <sheetData>
    <row r="1" spans="1:10" ht="45.75" customHeight="1">
      <c r="A1" s="8"/>
      <c r="B1" s="320"/>
      <c r="C1" s="320"/>
      <c r="D1" s="320"/>
      <c r="E1" s="323" t="s">
        <v>335</v>
      </c>
      <c r="F1" s="323"/>
      <c r="G1" s="323"/>
      <c r="H1" s="323"/>
      <c r="I1" s="1"/>
      <c r="J1" s="1"/>
    </row>
    <row r="2" spans="1:10" ht="91">
      <c r="A2" s="120"/>
      <c r="B2" s="121" t="s">
        <v>61</v>
      </c>
      <c r="C2" s="121" t="s">
        <v>58</v>
      </c>
      <c r="D2" s="121" t="s">
        <v>0</v>
      </c>
      <c r="E2" s="121" t="s">
        <v>1</v>
      </c>
      <c r="F2" s="121" t="s">
        <v>57</v>
      </c>
      <c r="G2" s="121" t="s">
        <v>59</v>
      </c>
      <c r="H2" s="121" t="s">
        <v>60</v>
      </c>
      <c r="I2" s="122" t="s">
        <v>63</v>
      </c>
      <c r="J2" s="5" t="s">
        <v>5</v>
      </c>
    </row>
    <row r="3" spans="1:10" ht="43.5">
      <c r="A3" s="78">
        <v>1</v>
      </c>
      <c r="B3" s="3" t="s">
        <v>503</v>
      </c>
      <c r="C3" s="10" t="s">
        <v>22</v>
      </c>
      <c r="D3" s="10"/>
      <c r="E3" s="10"/>
      <c r="F3" s="9"/>
      <c r="G3" s="3" t="str">
        <f>+'Portada '!$A$16</f>
        <v>Ingeniero de Calidad / QE</v>
      </c>
      <c r="H3" s="21"/>
      <c r="I3" s="327"/>
      <c r="J3" s="328"/>
    </row>
    <row r="4" spans="1:10" ht="58">
      <c r="A4" s="78">
        <v>2</v>
      </c>
      <c r="B4" s="3" t="s">
        <v>504</v>
      </c>
      <c r="C4" s="10" t="s">
        <v>22</v>
      </c>
      <c r="D4" s="10"/>
      <c r="E4" s="10"/>
      <c r="F4" s="9"/>
      <c r="G4" s="3" t="str">
        <f>+'Portada '!$A$16</f>
        <v>Ingeniero de Calidad / QE</v>
      </c>
      <c r="H4" s="21"/>
      <c r="I4" s="321"/>
      <c r="J4" s="322"/>
    </row>
    <row r="5" spans="1:10" ht="58">
      <c r="A5" s="78">
        <v>3</v>
      </c>
      <c r="B5" s="3" t="s">
        <v>505</v>
      </c>
      <c r="C5" s="10" t="s">
        <v>22</v>
      </c>
      <c r="D5" s="10"/>
      <c r="E5" s="10"/>
      <c r="F5" s="9"/>
      <c r="G5" s="3" t="str">
        <f>+'Portada '!$A$16</f>
        <v>Ingeniero de Calidad / QE</v>
      </c>
      <c r="H5" s="21"/>
      <c r="I5" s="321"/>
      <c r="J5" s="322"/>
    </row>
    <row r="6" spans="1:10" ht="43.5">
      <c r="A6" s="78">
        <v>4</v>
      </c>
      <c r="B6" s="3" t="s">
        <v>526</v>
      </c>
      <c r="C6" s="10" t="s">
        <v>22</v>
      </c>
      <c r="D6" s="10"/>
      <c r="E6" s="10"/>
      <c r="F6" s="9"/>
      <c r="G6" s="3" t="str">
        <f>+'Portada '!$A$16</f>
        <v>Ingeniero de Calidad / QE</v>
      </c>
      <c r="H6" s="21"/>
      <c r="I6" s="1"/>
      <c r="J6" s="1"/>
    </row>
  </sheetData>
  <customSheetViews>
    <customSheetView guid="{0D2B2804-9719-4CF5-836A-6C18EF806972}" showPageBreaks="1" printArea="1" view="pageBreakPreview">
      <selection activeCell="C3" sqref="C3"/>
      <pageMargins left="0.7" right="0.7" top="0.75" bottom="0.75" header="0.3" footer="0.3"/>
      <pageSetup scale="51" orientation="portrait" r:id="rId1"/>
    </customSheetView>
    <customSheetView guid="{F51EB4BE-1505-43EE-8F62-937E5A5046CB}" showPageBreaks="1" hiddenRows="1" view="pageBreakPreview">
      <pageMargins left="0.7" right="0.7" top="0.75" bottom="0.75" header="0.3" footer="0.3"/>
      <pageSetup scale="51" orientation="portrait" r:id="rId2"/>
    </customSheetView>
  </customSheetViews>
  <mergeCells count="5">
    <mergeCell ref="B1:D1"/>
    <mergeCell ref="I3:J3"/>
    <mergeCell ref="I4:J4"/>
    <mergeCell ref="E1:H1"/>
    <mergeCell ref="I5:J5"/>
  </mergeCells>
  <pageMargins left="0.17" right="0.3" top="0.31" bottom="0.27" header="0.22" footer="0.16"/>
  <pageSetup scale="75"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E00-000000000000}">
          <x14:formula1>
            <xm:f>Misc!$E$3:$E$4</xm:f>
          </x14:formula1>
          <xm:sqref>C3:E6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2">
    <tabColor rgb="FF00B0F0"/>
    <pageSetUpPr fitToPage="1"/>
  </sheetPr>
  <dimension ref="A1:J7"/>
  <sheetViews>
    <sheetView view="pageLayout" topLeftCell="A2" zoomScaleNormal="100" zoomScaleSheetLayoutView="100" workbookViewId="0">
      <selection activeCell="F5" sqref="F5"/>
    </sheetView>
  </sheetViews>
  <sheetFormatPr defaultColWidth="11.453125" defaultRowHeight="14.5"/>
  <cols>
    <col min="1" max="1" width="7.26953125" customWidth="1"/>
    <col min="2" max="2" width="53" customWidth="1"/>
    <col min="3" max="3" width="7.7265625" customWidth="1"/>
    <col min="4" max="5" width="6.26953125" customWidth="1"/>
    <col min="6" max="6" width="46.81640625" customWidth="1"/>
    <col min="7" max="7" width="13.81640625" customWidth="1"/>
    <col min="8" max="8" width="13.7265625" bestFit="1" customWidth="1"/>
  </cols>
  <sheetData>
    <row r="1" spans="1:10" ht="45.75" customHeight="1">
      <c r="A1" s="8"/>
      <c r="B1" s="320"/>
      <c r="C1" s="320"/>
      <c r="D1" s="320"/>
      <c r="E1" s="323" t="s">
        <v>335</v>
      </c>
      <c r="F1" s="323"/>
      <c r="G1" s="323"/>
      <c r="H1" s="323"/>
      <c r="I1" s="1"/>
      <c r="J1" s="1"/>
    </row>
    <row r="2" spans="1:10" ht="91">
      <c r="A2" s="120"/>
      <c r="B2" s="121" t="s">
        <v>61</v>
      </c>
      <c r="C2" s="121" t="s">
        <v>58</v>
      </c>
      <c r="D2" s="121" t="s">
        <v>0</v>
      </c>
      <c r="E2" s="121" t="s">
        <v>1</v>
      </c>
      <c r="F2" s="121" t="s">
        <v>57</v>
      </c>
      <c r="G2" s="121" t="s">
        <v>59</v>
      </c>
      <c r="H2" s="121" t="s">
        <v>60</v>
      </c>
      <c r="I2" s="122" t="s">
        <v>63</v>
      </c>
      <c r="J2" s="5" t="s">
        <v>5</v>
      </c>
    </row>
    <row r="3" spans="1:10" ht="43.5">
      <c r="A3" s="78">
        <v>1</v>
      </c>
      <c r="B3" s="3" t="s">
        <v>506</v>
      </c>
      <c r="C3" s="10" t="s">
        <v>22</v>
      </c>
      <c r="D3" s="10"/>
      <c r="E3" s="14"/>
      <c r="F3" s="13"/>
      <c r="G3" s="11" t="str">
        <f>+'Portada '!$A$16</f>
        <v>Ingeniero de Calidad / QE</v>
      </c>
      <c r="H3" s="21"/>
      <c r="I3" s="321"/>
      <c r="J3" s="322"/>
    </row>
    <row r="4" spans="1:10" ht="43.5">
      <c r="A4" s="78">
        <v>2</v>
      </c>
      <c r="B4" s="3" t="s">
        <v>507</v>
      </c>
      <c r="C4" s="10" t="s">
        <v>22</v>
      </c>
      <c r="D4" s="10"/>
      <c r="E4" s="10"/>
      <c r="F4" s="11"/>
      <c r="G4" s="11" t="str">
        <f>+'Portada '!$A$16</f>
        <v>Ingeniero de Calidad / QE</v>
      </c>
      <c r="H4" s="21"/>
      <c r="I4" s="19"/>
      <c r="J4" s="19"/>
    </row>
    <row r="5" spans="1:10" ht="58">
      <c r="A5" s="78">
        <v>3</v>
      </c>
      <c r="B5" s="3" t="s">
        <v>508</v>
      </c>
      <c r="C5" s="10" t="s">
        <v>22</v>
      </c>
      <c r="D5" s="10"/>
      <c r="E5" s="14"/>
      <c r="F5" s="13"/>
      <c r="G5" s="11" t="str">
        <f>+'Portada '!$A$16</f>
        <v>Ingeniero de Calidad / QE</v>
      </c>
      <c r="H5" s="21"/>
      <c r="I5" s="1"/>
      <c r="J5" s="1"/>
    </row>
    <row r="6" spans="1:10" ht="43.5">
      <c r="A6" s="78">
        <v>4</v>
      </c>
      <c r="B6" s="11" t="s">
        <v>525</v>
      </c>
      <c r="C6" s="10" t="s">
        <v>22</v>
      </c>
      <c r="D6" s="10"/>
      <c r="E6" s="14"/>
      <c r="F6" s="13"/>
      <c r="G6" s="11" t="str">
        <f>+'Portada '!$A$16</f>
        <v>Ingeniero de Calidad / QE</v>
      </c>
      <c r="H6" s="21"/>
      <c r="I6" s="1"/>
      <c r="J6" s="1"/>
    </row>
    <row r="7" spans="1:10" ht="29">
      <c r="A7" s="78">
        <v>5</v>
      </c>
      <c r="B7" s="3" t="s">
        <v>527</v>
      </c>
      <c r="C7" s="10" t="s">
        <v>22</v>
      </c>
      <c r="D7" s="10"/>
      <c r="E7" s="10"/>
      <c r="F7" s="9"/>
      <c r="G7" s="3" t="str">
        <f>+'Portada '!$A$16</f>
        <v>Ingeniero de Calidad / QE</v>
      </c>
      <c r="H7" s="21"/>
      <c r="I7" s="1"/>
      <c r="J7" s="1"/>
    </row>
  </sheetData>
  <customSheetViews>
    <customSheetView guid="{0D2B2804-9719-4CF5-836A-6C18EF806972}" showPageBreaks="1" printArea="1" view="pageBreakPreview">
      <pageMargins left="0.7" right="0.7" top="0.75" bottom="0.75" header="0.3" footer="0.3"/>
      <pageSetup scale="50" orientation="portrait" r:id="rId1"/>
    </customSheetView>
    <customSheetView guid="{F51EB4BE-1505-43EE-8F62-937E5A5046CB}" showPageBreaks="1" hiddenRows="1" view="pageBreakPreview" topLeftCell="A3">
      <selection activeCell="G3" sqref="G3:G8"/>
      <pageMargins left="0.7" right="0.7" top="0.75" bottom="0.75" header="0.3" footer="0.3"/>
      <pageSetup scale="50" orientation="portrait" r:id="rId2"/>
    </customSheetView>
  </customSheetViews>
  <mergeCells count="3">
    <mergeCell ref="B1:D1"/>
    <mergeCell ref="I3:J3"/>
    <mergeCell ref="E1:H1"/>
  </mergeCells>
  <pageMargins left="0.17" right="0.3" top="0.31" bottom="0.27" header="0.22" footer="0.16"/>
  <pageSetup scale="75"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0000000}">
          <x14:formula1>
            <xm:f>Misc!$E$3:$E$4</xm:f>
          </x14:formula1>
          <xm:sqref>C3:E6 C7:E7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3">
    <tabColor rgb="FF00B0F0"/>
    <pageSetUpPr fitToPage="1"/>
  </sheetPr>
  <dimension ref="A1:J10"/>
  <sheetViews>
    <sheetView view="pageLayout" topLeftCell="A7" zoomScaleNormal="100" zoomScaleSheetLayoutView="100" workbookViewId="0">
      <selection activeCell="F5" sqref="F5"/>
    </sheetView>
  </sheetViews>
  <sheetFormatPr defaultColWidth="11.453125" defaultRowHeight="14.5"/>
  <cols>
    <col min="2" max="2" width="47.1796875" customWidth="1"/>
    <col min="3" max="5" width="8.7265625" customWidth="1"/>
    <col min="6" max="6" width="46.54296875" customWidth="1"/>
    <col min="7" max="7" width="17.1796875" customWidth="1"/>
  </cols>
  <sheetData>
    <row r="1" spans="1:10" ht="45.75" customHeight="1">
      <c r="A1" s="8"/>
      <c r="B1" s="320"/>
      <c r="C1" s="320"/>
      <c r="D1" s="320"/>
      <c r="E1" s="323" t="s">
        <v>335</v>
      </c>
      <c r="F1" s="323"/>
      <c r="G1" s="323"/>
      <c r="H1" s="323"/>
      <c r="I1" s="1"/>
      <c r="J1" s="1"/>
    </row>
    <row r="2" spans="1:10" ht="91">
      <c r="A2" s="120"/>
      <c r="B2" s="121" t="s">
        <v>61</v>
      </c>
      <c r="C2" s="121" t="s">
        <v>58</v>
      </c>
      <c r="D2" s="121" t="s">
        <v>0</v>
      </c>
      <c r="E2" s="121" t="s">
        <v>1</v>
      </c>
      <c r="F2" s="121" t="s">
        <v>57</v>
      </c>
      <c r="G2" s="121" t="s">
        <v>59</v>
      </c>
      <c r="H2" s="121" t="s">
        <v>60</v>
      </c>
      <c r="I2" s="122" t="s">
        <v>63</v>
      </c>
      <c r="J2" s="4" t="s">
        <v>6</v>
      </c>
    </row>
    <row r="3" spans="1:10" ht="43.5">
      <c r="A3" s="78">
        <v>1</v>
      </c>
      <c r="B3" s="3" t="s">
        <v>509</v>
      </c>
      <c r="C3" s="10" t="s">
        <v>22</v>
      </c>
      <c r="D3" s="10"/>
      <c r="E3" s="10"/>
      <c r="F3" s="13"/>
      <c r="G3" s="11" t="str">
        <f>IF('Portada '!$A$14="","",'Portada '!$A$14)</f>
        <v xml:space="preserve">Líder del proyecto / Project leader </v>
      </c>
      <c r="H3" s="21"/>
      <c r="I3" s="327"/>
      <c r="J3" s="328"/>
    </row>
    <row r="4" spans="1:10" ht="58">
      <c r="A4" s="78">
        <v>2</v>
      </c>
      <c r="B4" s="3" t="s">
        <v>511</v>
      </c>
      <c r="C4" s="10" t="s">
        <v>22</v>
      </c>
      <c r="D4" s="10"/>
      <c r="E4" s="10"/>
      <c r="F4" s="11"/>
      <c r="G4" s="11" t="s">
        <v>512</v>
      </c>
      <c r="H4" s="21"/>
      <c r="I4" s="1"/>
      <c r="J4" s="1"/>
    </row>
    <row r="5" spans="1:10" ht="72.5">
      <c r="A5" s="78">
        <v>3</v>
      </c>
      <c r="B5" s="3" t="s">
        <v>513</v>
      </c>
      <c r="C5" s="10"/>
      <c r="D5" s="10"/>
      <c r="E5" s="10" t="s">
        <v>22</v>
      </c>
      <c r="F5" s="11"/>
      <c r="G5" s="11" t="s">
        <v>514</v>
      </c>
      <c r="H5" s="21"/>
      <c r="I5" s="1"/>
      <c r="J5" s="1"/>
    </row>
    <row r="6" spans="1:10" ht="58">
      <c r="A6" s="78">
        <v>4</v>
      </c>
      <c r="B6" s="3" t="s">
        <v>515</v>
      </c>
      <c r="C6" s="10" t="s">
        <v>22</v>
      </c>
      <c r="D6" s="10"/>
      <c r="E6" s="10"/>
      <c r="F6" s="11"/>
      <c r="G6" s="11" t="s">
        <v>516</v>
      </c>
      <c r="H6" s="21"/>
      <c r="I6" s="1"/>
      <c r="J6" s="1"/>
    </row>
    <row r="7" spans="1:10" ht="43.5">
      <c r="A7" s="78">
        <v>5</v>
      </c>
      <c r="B7" s="3" t="s">
        <v>531</v>
      </c>
      <c r="C7" s="10" t="s">
        <v>22</v>
      </c>
      <c r="D7" s="10"/>
      <c r="E7" s="10"/>
      <c r="F7" s="11"/>
      <c r="G7" s="11" t="s">
        <v>516</v>
      </c>
      <c r="H7" s="21"/>
      <c r="I7" s="1"/>
      <c r="J7" s="1"/>
    </row>
    <row r="8" spans="1:10" ht="43.5">
      <c r="A8" s="78">
        <v>6</v>
      </c>
      <c r="B8" s="3" t="s">
        <v>534</v>
      </c>
      <c r="C8" s="10" t="s">
        <v>22</v>
      </c>
      <c r="D8" s="10"/>
      <c r="E8" s="10"/>
      <c r="F8" s="11"/>
      <c r="G8" s="11" t="s">
        <v>517</v>
      </c>
      <c r="H8" s="21"/>
      <c r="I8" s="1"/>
      <c r="J8" s="1"/>
    </row>
    <row r="9" spans="1:10" ht="29">
      <c r="A9" s="78">
        <v>7</v>
      </c>
      <c r="B9" s="3" t="s">
        <v>520</v>
      </c>
      <c r="C9" s="10" t="s">
        <v>22</v>
      </c>
      <c r="D9" s="10"/>
      <c r="E9" s="10"/>
      <c r="F9" s="11"/>
      <c r="G9" s="11" t="s">
        <v>517</v>
      </c>
      <c r="H9" s="21"/>
      <c r="I9" s="1"/>
      <c r="J9" s="1"/>
    </row>
    <row r="10" spans="1:10" ht="43.5">
      <c r="A10" s="78">
        <v>8</v>
      </c>
      <c r="B10" s="3" t="s">
        <v>519</v>
      </c>
      <c r="C10" s="10" t="s">
        <v>22</v>
      </c>
      <c r="D10" s="10"/>
      <c r="E10" s="10"/>
      <c r="F10" s="11"/>
      <c r="G10" s="11" t="s">
        <v>518</v>
      </c>
      <c r="H10" s="21"/>
      <c r="I10" s="1"/>
      <c r="J10" s="1"/>
    </row>
  </sheetData>
  <customSheetViews>
    <customSheetView guid="{0D2B2804-9719-4CF5-836A-6C18EF806972}" showPageBreaks="1" printArea="1" view="pageBreakPreview">
      <pane xSplit="2" ySplit="2" topLeftCell="C3" activePane="bottomRight" state="frozen"/>
      <selection pane="bottomRight"/>
      <pageMargins left="0.7" right="0.7" top="0.75" bottom="0.75" header="0.3" footer="0.3"/>
      <pageSetup scale="49" orientation="portrait" r:id="rId1"/>
    </customSheetView>
    <customSheetView guid="{F51EB4BE-1505-43EE-8F62-937E5A5046CB}" showPageBreaks="1" printArea="1" view="pageBreakPreview">
      <pane xSplit="2" ySplit="2" topLeftCell="C11" activePane="bottomRight" state="frozen"/>
      <selection pane="bottomRight" activeCell="G11" sqref="G11:G12"/>
      <pageMargins left="0.7" right="0.7" top="0.75" bottom="0.75" header="0.3" footer="0.3"/>
      <pageSetup scale="49" orientation="portrait" r:id="rId2"/>
    </customSheetView>
  </customSheetViews>
  <mergeCells count="3">
    <mergeCell ref="B1:D1"/>
    <mergeCell ref="I3:J3"/>
    <mergeCell ref="E1:H1"/>
  </mergeCells>
  <conditionalFormatting sqref="C11:C21">
    <cfRule type="cellIs" dxfId="5" priority="1" operator="equal">
      <formula>"NG"</formula>
    </cfRule>
    <cfRule type="cellIs" dxfId="4" priority="2" operator="equal">
      <formula>"OK"</formula>
    </cfRule>
  </conditionalFormatting>
  <pageMargins left="0.17" right="0.3" top="0.31" bottom="0.27" header="0.22" footer="0.16"/>
  <pageSetup scale="73"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Misc!$E$3:$E$4</xm:f>
          </x14:formula1>
          <xm:sqref>C3:E10</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tabColor rgb="FF00B0F0"/>
    <pageSetUpPr fitToPage="1"/>
  </sheetPr>
  <dimension ref="A1:J13"/>
  <sheetViews>
    <sheetView view="pageLayout" topLeftCell="A2" zoomScaleNormal="100" zoomScaleSheetLayoutView="100" workbookViewId="0">
      <selection activeCell="F5" sqref="F5"/>
    </sheetView>
  </sheetViews>
  <sheetFormatPr defaultColWidth="11.453125" defaultRowHeight="14.5"/>
  <cols>
    <col min="1" max="1" width="6.26953125" customWidth="1"/>
    <col min="2" max="2" width="51.7265625" customWidth="1"/>
    <col min="3" max="3" width="9" customWidth="1"/>
    <col min="4" max="5" width="6.54296875" customWidth="1"/>
    <col min="6" max="6" width="46.26953125" customWidth="1"/>
    <col min="7" max="7" width="16" customWidth="1"/>
  </cols>
  <sheetData>
    <row r="1" spans="1:10" ht="45.75" customHeight="1">
      <c r="A1" s="8"/>
      <c r="B1" s="320"/>
      <c r="C1" s="320"/>
      <c r="D1" s="320"/>
      <c r="E1" s="323" t="s">
        <v>335</v>
      </c>
      <c r="F1" s="323"/>
      <c r="G1" s="323"/>
      <c r="H1" s="323"/>
      <c r="I1" s="1"/>
      <c r="J1" s="1"/>
    </row>
    <row r="2" spans="1:10" ht="91">
      <c r="A2" s="120"/>
      <c r="B2" s="121" t="s">
        <v>61</v>
      </c>
      <c r="C2" s="121" t="s">
        <v>58</v>
      </c>
      <c r="D2" s="121" t="s">
        <v>0</v>
      </c>
      <c r="E2" s="121" t="s">
        <v>1</v>
      </c>
      <c r="F2" s="121" t="s">
        <v>57</v>
      </c>
      <c r="G2" s="121" t="s">
        <v>59</v>
      </c>
      <c r="H2" s="121" t="s">
        <v>60</v>
      </c>
      <c r="I2" s="122" t="s">
        <v>63</v>
      </c>
      <c r="J2" s="5" t="s">
        <v>5</v>
      </c>
    </row>
    <row r="3" spans="1:10" ht="29">
      <c r="A3" s="78">
        <v>1</v>
      </c>
      <c r="B3" s="11" t="s">
        <v>521</v>
      </c>
      <c r="C3" s="10"/>
      <c r="D3" s="10" t="s">
        <v>22</v>
      </c>
      <c r="E3" s="182"/>
      <c r="F3" s="9"/>
      <c r="G3" s="3" t="str">
        <f>+'Portada '!$A$16</f>
        <v>Ingeniero de Calidad / QE</v>
      </c>
      <c r="H3" s="9"/>
      <c r="I3" s="327"/>
      <c r="J3" s="328"/>
    </row>
    <row r="4" spans="1:10" ht="29">
      <c r="A4" s="78">
        <v>2</v>
      </c>
      <c r="B4" s="11" t="s">
        <v>522</v>
      </c>
      <c r="C4" s="10"/>
      <c r="D4" s="10"/>
      <c r="E4" s="182" t="s">
        <v>22</v>
      </c>
      <c r="F4" s="9"/>
      <c r="G4" s="3" t="str">
        <f>+'Portada '!$A$16</f>
        <v>Ingeniero de Calidad / QE</v>
      </c>
      <c r="H4" s="9"/>
      <c r="I4" s="6"/>
      <c r="J4" s="7"/>
    </row>
    <row r="5" spans="1:10" ht="29">
      <c r="A5" s="78">
        <v>3</v>
      </c>
      <c r="B5" s="3" t="s">
        <v>523</v>
      </c>
      <c r="C5" s="10"/>
      <c r="D5" s="10"/>
      <c r="E5" s="182" t="s">
        <v>22</v>
      </c>
      <c r="F5" s="9"/>
      <c r="G5" s="3" t="str">
        <f>+'Portada '!$A$16</f>
        <v>Ingeniero de Calidad / QE</v>
      </c>
      <c r="H5" s="9"/>
      <c r="I5" s="321"/>
      <c r="J5" s="345"/>
    </row>
    <row r="6" spans="1:10" hidden="1">
      <c r="C6" s="64" t="str">
        <f>IF(C3="X", ("1"), ("0"))</f>
        <v>0</v>
      </c>
    </row>
    <row r="7" spans="1:10" hidden="1">
      <c r="C7" s="64" t="str">
        <f>IF(C4="X", ("1"), ("0"))</f>
        <v>0</v>
      </c>
    </row>
    <row r="8" spans="1:10" hidden="1">
      <c r="C8" s="64" t="str">
        <f>IF(C5="X", ("1"), ("0"))</f>
        <v>0</v>
      </c>
    </row>
    <row r="9" spans="1:10" hidden="1">
      <c r="C9" s="64" t="e">
        <f>IF(#REF!="X", ("1"), ("0"))</f>
        <v>#REF!</v>
      </c>
    </row>
    <row r="10" spans="1:10" hidden="1">
      <c r="C10" s="64" t="e">
        <f>IF(#REF!="X", ("1"), ("0"))</f>
        <v>#REF!</v>
      </c>
    </row>
    <row r="11" spans="1:10" hidden="1">
      <c r="C11" s="64" t="e">
        <f>IF(#REF!="X", ("1"), ("0"))</f>
        <v>#REF!</v>
      </c>
    </row>
    <row r="12" spans="1:10" hidden="1">
      <c r="C12" s="64" t="e">
        <f>IF(#REF!="X", ("1"), ("0"))</f>
        <v>#REF!</v>
      </c>
    </row>
    <row r="13" spans="1:10" hidden="1">
      <c r="C13" s="66" t="e">
        <f>C6+C7+C8+C9+C10+C11+C12</f>
        <v>#REF!</v>
      </c>
    </row>
  </sheetData>
  <customSheetViews>
    <customSheetView guid="{0D2B2804-9719-4CF5-836A-6C18EF806972}" showPageBreaks="1" hiddenRows="1" view="pageBreakPreview">
      <pageMargins left="0.7" right="0.7" top="0.75" bottom="0.75" header="0.3" footer="0.3"/>
      <pageSetup scale="51" orientation="portrait" r:id="rId1"/>
    </customSheetView>
    <customSheetView guid="{F51EB4BE-1505-43EE-8F62-937E5A5046CB}" showPageBreaks="1" hiddenRows="1" view="pageBreakPreview" topLeftCell="A4">
      <selection activeCell="G3" sqref="G3:G9"/>
      <pageMargins left="0.7" right="0.7" top="0.75" bottom="0.75" header="0.3" footer="0.3"/>
      <pageSetup scale="51" orientation="portrait" r:id="rId2"/>
    </customSheetView>
  </customSheetViews>
  <mergeCells count="4">
    <mergeCell ref="B1:D1"/>
    <mergeCell ref="I3:J3"/>
    <mergeCell ref="I5:J5"/>
    <mergeCell ref="E1:H1"/>
  </mergeCells>
  <conditionalFormatting sqref="C6:C13">
    <cfRule type="cellIs" dxfId="3" priority="1" operator="equal">
      <formula>"NG"</formula>
    </cfRule>
    <cfRule type="cellIs" dxfId="2" priority="2" operator="equal">
      <formula>"OK"</formula>
    </cfRule>
  </conditionalFormatting>
  <pageMargins left="0.17" right="0.3" top="0.31" bottom="0.27" header="0.22" footer="0.16"/>
  <pageSetup scale="75"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0000000}">
          <x14:formula1>
            <xm:f>Misc!$E$3:$E$4</xm:f>
          </x14:formula1>
          <xm:sqref>C3:E5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5">
    <tabColor rgb="FFCCFFFF"/>
    <pageSetUpPr fitToPage="1"/>
  </sheetPr>
  <dimension ref="B1:F36"/>
  <sheetViews>
    <sheetView showGridLines="0" showWhiteSpace="0" view="pageLayout" topLeftCell="A9" zoomScaleNormal="80" zoomScaleSheetLayoutView="80" workbookViewId="0">
      <selection activeCell="E12" sqref="E12:F12"/>
    </sheetView>
  </sheetViews>
  <sheetFormatPr defaultColWidth="9.1796875" defaultRowHeight="14.5"/>
  <cols>
    <col min="1" max="1" width="2.81640625" style="16" customWidth="1"/>
    <col min="2" max="3" width="15.81640625" style="16" customWidth="1"/>
    <col min="4" max="4" width="41.453125" style="16" customWidth="1"/>
    <col min="5" max="5" width="18.453125" style="16" bestFit="1" customWidth="1"/>
    <col min="6" max="6" width="52.54296875" style="16" customWidth="1"/>
    <col min="7" max="7" width="2.81640625" style="16" customWidth="1"/>
    <col min="8" max="16384" width="9.1796875" style="16"/>
  </cols>
  <sheetData>
    <row r="1" spans="2:6">
      <c r="C1" s="118"/>
      <c r="D1" s="118"/>
    </row>
    <row r="2" spans="2:6" ht="15" customHeight="1">
      <c r="B2" s="72"/>
      <c r="D2" s="354" t="s">
        <v>383</v>
      </c>
      <c r="E2" s="355"/>
      <c r="F2" s="356"/>
    </row>
    <row r="3" spans="2:6" ht="15" customHeight="1">
      <c r="B3" s="186"/>
      <c r="C3" s="114"/>
      <c r="D3" s="354"/>
      <c r="E3" s="354"/>
      <c r="F3" s="357"/>
    </row>
    <row r="4" spans="2:6" ht="15" customHeight="1">
      <c r="B4" s="186"/>
      <c r="C4" s="114"/>
      <c r="D4" s="354"/>
      <c r="E4" s="354"/>
      <c r="F4" s="357"/>
    </row>
    <row r="5" spans="2:6" ht="6" customHeight="1">
      <c r="B5" s="115"/>
      <c r="C5" s="116"/>
      <c r="D5" s="116"/>
      <c r="E5" s="116"/>
      <c r="F5" s="117"/>
    </row>
    <row r="6" spans="2:6">
      <c r="B6" s="358" t="s">
        <v>307</v>
      </c>
      <c r="C6" s="359"/>
      <c r="D6" s="57" t="str">
        <f>IF('Portada '!B7="", " ",+'Portada '!B7)</f>
        <v>Stellantis</v>
      </c>
      <c r="E6" s="19" t="s">
        <v>308</v>
      </c>
      <c r="F6" s="99"/>
    </row>
    <row r="7" spans="2:6" ht="29">
      <c r="B7" s="360" t="s">
        <v>334</v>
      </c>
      <c r="C7" s="361"/>
      <c r="D7" s="58" t="str">
        <f>IF('Portada '!B5="", "",+'Portada '!B5)</f>
        <v>Dahlia Valve Stellantis</v>
      </c>
      <c r="E7" s="19" t="s">
        <v>467</v>
      </c>
      <c r="F7" s="73" t="str">
        <f>+'Portada '!B6</f>
        <v>1722-EJB0033</v>
      </c>
    </row>
    <row r="8" spans="2:6" ht="9.75" customHeight="1">
      <c r="B8" s="186"/>
      <c r="C8" s="15"/>
      <c r="D8" s="15"/>
      <c r="E8" s="15"/>
      <c r="F8" s="69"/>
    </row>
    <row r="9" spans="2:6" ht="9.75" customHeight="1">
      <c r="B9" s="186"/>
      <c r="C9" s="15"/>
      <c r="D9" s="15"/>
      <c r="E9" s="15"/>
      <c r="F9" s="69"/>
    </row>
    <row r="10" spans="2:6">
      <c r="B10" s="120" t="s">
        <v>309</v>
      </c>
      <c r="C10" s="120" t="s">
        <v>0</v>
      </c>
      <c r="D10" s="120" t="s">
        <v>310</v>
      </c>
      <c r="E10" s="362" t="s">
        <v>311</v>
      </c>
      <c r="F10" s="362"/>
    </row>
    <row r="11" spans="2:6" ht="58">
      <c r="B11" s="185" t="s">
        <v>22</v>
      </c>
      <c r="C11" s="188"/>
      <c r="D11" s="59" t="s">
        <v>468</v>
      </c>
      <c r="E11" s="363"/>
      <c r="F11" s="363"/>
    </row>
    <row r="12" spans="2:6" ht="72.5">
      <c r="B12" s="187" t="s">
        <v>22</v>
      </c>
      <c r="C12" s="185"/>
      <c r="D12" s="59" t="s">
        <v>545</v>
      </c>
      <c r="E12" s="363"/>
      <c r="F12" s="363"/>
    </row>
    <row r="13" spans="2:6" ht="58">
      <c r="B13" s="187" t="s">
        <v>22</v>
      </c>
      <c r="C13" s="185"/>
      <c r="D13" s="59" t="s">
        <v>546</v>
      </c>
      <c r="E13" s="363"/>
      <c r="F13" s="363"/>
    </row>
    <row r="14" spans="2:6">
      <c r="B14" s="186"/>
      <c r="C14" s="15"/>
      <c r="D14" s="15"/>
      <c r="E14" s="15"/>
      <c r="F14" s="69"/>
    </row>
    <row r="15" spans="2:6">
      <c r="B15" s="364" t="s">
        <v>60</v>
      </c>
      <c r="C15" s="365"/>
      <c r="D15" s="183" t="s">
        <v>319</v>
      </c>
      <c r="E15" s="362" t="s">
        <v>312</v>
      </c>
      <c r="F15" s="362"/>
    </row>
    <row r="16" spans="2:6" ht="37.5" customHeight="1">
      <c r="B16" s="187"/>
      <c r="C16" s="59" t="s">
        <v>313</v>
      </c>
      <c r="D16" s="18" t="s">
        <v>314</v>
      </c>
      <c r="E16" s="352"/>
      <c r="F16" s="353"/>
    </row>
    <row r="17" spans="2:6" ht="29">
      <c r="B17" s="187"/>
      <c r="C17" s="59" t="s">
        <v>320</v>
      </c>
      <c r="D17" s="60" t="s">
        <v>378</v>
      </c>
      <c r="E17" s="352"/>
      <c r="F17" s="353"/>
    </row>
    <row r="18" spans="2:6" ht="37.5" customHeight="1">
      <c r="B18" s="187"/>
      <c r="C18" s="59" t="s">
        <v>315</v>
      </c>
      <c r="D18" s="59" t="s">
        <v>316</v>
      </c>
      <c r="E18" s="352"/>
      <c r="F18" s="353"/>
    </row>
    <row r="19" spans="2:6" ht="18" customHeight="1">
      <c r="B19" s="163"/>
      <c r="C19" s="19"/>
      <c r="D19" s="19"/>
      <c r="E19" s="164"/>
      <c r="F19" s="165"/>
    </row>
    <row r="20" spans="2:6" ht="15.5">
      <c r="B20" s="349" t="s">
        <v>547</v>
      </c>
      <c r="C20" s="350"/>
      <c r="D20" s="350"/>
      <c r="E20" s="350"/>
      <c r="F20" s="351"/>
    </row>
    <row r="21" spans="2:6" ht="15.5">
      <c r="B21" s="349" t="s">
        <v>317</v>
      </c>
      <c r="C21" s="350"/>
      <c r="D21" s="184" t="s">
        <v>318</v>
      </c>
      <c r="E21" s="184" t="s">
        <v>283</v>
      </c>
      <c r="F21" s="70" t="s">
        <v>284</v>
      </c>
    </row>
    <row r="22" spans="2:6" ht="26.25" customHeight="1">
      <c r="B22" s="348"/>
      <c r="C22" s="348"/>
      <c r="D22" s="184" t="s">
        <v>287</v>
      </c>
      <c r="E22" s="135" t="s">
        <v>694</v>
      </c>
      <c r="F22" s="82" t="s">
        <v>695</v>
      </c>
    </row>
    <row r="23" spans="2:6" ht="26.25" customHeight="1">
      <c r="B23" s="348"/>
      <c r="C23" s="348"/>
      <c r="D23" s="184" t="s">
        <v>290</v>
      </c>
      <c r="E23" s="135" t="s">
        <v>691</v>
      </c>
      <c r="F23" s="82" t="s">
        <v>697</v>
      </c>
    </row>
    <row r="24" spans="2:6" ht="26.25" customHeight="1">
      <c r="B24" s="346"/>
      <c r="C24" s="347"/>
      <c r="D24" s="184" t="s">
        <v>289</v>
      </c>
      <c r="E24" s="135" t="s">
        <v>692</v>
      </c>
      <c r="F24" s="82" t="s">
        <v>698</v>
      </c>
    </row>
    <row r="25" spans="2:6" ht="26.25" customHeight="1">
      <c r="B25" s="346"/>
      <c r="C25" s="347"/>
      <c r="D25" s="184" t="s">
        <v>469</v>
      </c>
      <c r="E25" s="135" t="s">
        <v>694</v>
      </c>
      <c r="F25" s="82" t="s">
        <v>695</v>
      </c>
    </row>
    <row r="26" spans="2:6">
      <c r="B26" s="186"/>
      <c r="C26" s="15"/>
      <c r="D26" s="15"/>
      <c r="E26" s="15"/>
      <c r="F26" s="69"/>
    </row>
    <row r="27" spans="2:6" ht="15.5">
      <c r="B27" s="349" t="s">
        <v>296</v>
      </c>
      <c r="C27" s="350"/>
      <c r="D27" s="350"/>
      <c r="E27" s="350"/>
      <c r="F27" s="351"/>
    </row>
    <row r="28" spans="2:6" ht="15.5">
      <c r="B28" s="349" t="s">
        <v>317</v>
      </c>
      <c r="C28" s="350"/>
      <c r="D28" s="184" t="s">
        <v>318</v>
      </c>
      <c r="E28" s="184" t="s">
        <v>283</v>
      </c>
      <c r="F28" s="70" t="s">
        <v>284</v>
      </c>
    </row>
    <row r="29" spans="2:6" ht="26.25" customHeight="1">
      <c r="B29" s="348"/>
      <c r="C29" s="348"/>
      <c r="D29" s="184" t="s">
        <v>298</v>
      </c>
      <c r="E29" s="135" t="s">
        <v>628</v>
      </c>
      <c r="F29" s="71" t="s">
        <v>696</v>
      </c>
    </row>
    <row r="30" spans="2:6" ht="26.25" customHeight="1">
      <c r="B30" s="348"/>
      <c r="C30" s="348"/>
      <c r="D30" s="184" t="s">
        <v>299</v>
      </c>
      <c r="E30" s="74" t="s">
        <v>769</v>
      </c>
      <c r="F30" s="71" t="s">
        <v>770</v>
      </c>
    </row>
    <row r="31" spans="2:6" ht="26.25" customHeight="1">
      <c r="B31" s="348"/>
      <c r="C31" s="348"/>
      <c r="D31" s="184" t="s">
        <v>300</v>
      </c>
      <c r="E31" s="74" t="s">
        <v>327</v>
      </c>
      <c r="F31" s="71" t="s">
        <v>328</v>
      </c>
    </row>
    <row r="32" spans="2:6" ht="26.25" customHeight="1">
      <c r="B32" s="348"/>
      <c r="C32" s="348"/>
      <c r="D32" s="184" t="s">
        <v>301</v>
      </c>
      <c r="E32" s="74" t="s">
        <v>662</v>
      </c>
      <c r="F32" s="218" t="s">
        <v>663</v>
      </c>
    </row>
    <row r="33" spans="2:6" ht="26.25" customHeight="1">
      <c r="B33" s="346"/>
      <c r="C33" s="347"/>
      <c r="D33" s="184" t="s">
        <v>379</v>
      </c>
      <c r="E33" s="74" t="s">
        <v>380</v>
      </c>
      <c r="F33" s="71" t="s">
        <v>381</v>
      </c>
    </row>
    <row r="34" spans="2:6" ht="26.25" customHeight="1">
      <c r="B34" s="348"/>
      <c r="C34" s="348"/>
      <c r="D34" s="184" t="s">
        <v>302</v>
      </c>
      <c r="E34" s="74" t="s">
        <v>683</v>
      </c>
      <c r="F34" s="71" t="s">
        <v>684</v>
      </c>
    </row>
    <row r="35" spans="2:6" ht="15" thickBot="1">
      <c r="B35" s="61"/>
      <c r="C35" s="62"/>
      <c r="D35" s="62"/>
      <c r="E35" s="62"/>
      <c r="F35" s="63"/>
    </row>
    <row r="36" spans="2:6">
      <c r="F36" s="191" t="e">
        <f>+#REF!</f>
        <v>#REF!</v>
      </c>
    </row>
  </sheetData>
  <customSheetViews>
    <customSheetView guid="{0D2B2804-9719-4CF5-836A-6C18EF806972}" scale="80" showPageBreaks="1" showGridLines="0" fitToPage="1" printArea="1" view="pageBreakPreview" topLeftCell="A24">
      <selection activeCell="H36" sqref="H36"/>
      <pageMargins left="1.0236220472440944" right="0.82677165354330717" top="0.74803149606299213" bottom="0.74803149606299213" header="0.31496062992125984" footer="0.31496062992125984"/>
      <pageSetup scale="57" orientation="portrait" r:id="rId1"/>
      <headerFooter>
        <oddFooter>&amp;RF7311F Rev. 10/05/2018</oddFooter>
      </headerFooter>
    </customSheetView>
  </customSheetViews>
  <mergeCells count="26">
    <mergeCell ref="E18:F18"/>
    <mergeCell ref="D2:F4"/>
    <mergeCell ref="B6:C6"/>
    <mergeCell ref="B7:C7"/>
    <mergeCell ref="E10:F10"/>
    <mergeCell ref="E11:F11"/>
    <mergeCell ref="E12:F12"/>
    <mergeCell ref="E13:F13"/>
    <mergeCell ref="B15:C15"/>
    <mergeCell ref="E15:F15"/>
    <mergeCell ref="E16:F16"/>
    <mergeCell ref="E17:F17"/>
    <mergeCell ref="B20:F20"/>
    <mergeCell ref="B21:C21"/>
    <mergeCell ref="B22:C22"/>
    <mergeCell ref="B23:C23"/>
    <mergeCell ref="B24:C24"/>
    <mergeCell ref="B33:C33"/>
    <mergeCell ref="B34:C34"/>
    <mergeCell ref="B25:C25"/>
    <mergeCell ref="B27:F27"/>
    <mergeCell ref="B28:C28"/>
    <mergeCell ref="B29:C29"/>
    <mergeCell ref="B30:C30"/>
    <mergeCell ref="B31:C31"/>
    <mergeCell ref="B32:C32"/>
  </mergeCells>
  <dataValidations count="1">
    <dataValidation type="list" allowBlank="1" showInputMessage="1" showErrorMessage="1" sqref="B16:B19 B11:C13" xr:uid="{00000000-0002-0000-1200-000000000000}">
      <formula1>"X"</formula1>
    </dataValidation>
  </dataValidations>
  <hyperlinks>
    <hyperlink ref="F23" r:id="rId2" xr:uid="{D1C09C1F-D888-401E-AA97-5CCDF02C0796}"/>
    <hyperlink ref="F24" r:id="rId3" xr:uid="{796F7A40-6589-4841-AB2E-E43A014902BF}"/>
    <hyperlink ref="F22" r:id="rId4" xr:uid="{6C7CD01B-37E5-467E-9F42-E33B378E47B1}"/>
    <hyperlink ref="F25" r:id="rId5" xr:uid="{5B31D310-6370-4BD5-8F95-C30556AC715A}"/>
    <hyperlink ref="F30" r:id="rId6" xr:uid="{8E4D2386-78A9-4D23-977E-EA2B3A09D78F}"/>
  </hyperlinks>
  <pageMargins left="0.17" right="0.3" top="0.31" bottom="0.27" header="0.22" footer="0.16"/>
  <pageSetup scale="69" fitToHeight="0" orientation="portrait" r:id="rId7"/>
  <headerFooter alignWithMargins="0">
    <oddHeader xml:space="preserve">&amp;L
&amp;C
</oddHeader>
    <oddFooter>&amp;RF7100 Rev. 20/10/2020</oddFooter>
  </headerFooter>
  <drawing r:id="rId8"/>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41">
    <tabColor rgb="FF00B0F0"/>
    <pageSetUpPr fitToPage="1"/>
  </sheetPr>
  <dimension ref="A1:J12"/>
  <sheetViews>
    <sheetView view="pageLayout" zoomScaleNormal="100" zoomScaleSheetLayoutView="100" workbookViewId="0">
      <selection activeCell="E32" sqref="E32:F32"/>
    </sheetView>
  </sheetViews>
  <sheetFormatPr defaultColWidth="11.453125" defaultRowHeight="14.5"/>
  <cols>
    <col min="1" max="1" width="6.26953125" customWidth="1"/>
    <col min="2" max="2" width="51.7265625" customWidth="1"/>
    <col min="3" max="3" width="9" customWidth="1"/>
    <col min="4" max="5" width="6.54296875" customWidth="1"/>
    <col min="6" max="6" width="46.26953125" customWidth="1"/>
    <col min="7" max="7" width="16" customWidth="1"/>
  </cols>
  <sheetData>
    <row r="1" spans="1:10" ht="45.75" customHeight="1">
      <c r="A1" s="8"/>
      <c r="B1" s="320"/>
      <c r="C1" s="320"/>
      <c r="D1" s="320"/>
      <c r="E1" s="323" t="s">
        <v>335</v>
      </c>
      <c r="F1" s="323"/>
      <c r="G1" s="323"/>
      <c r="H1" s="323"/>
      <c r="I1" s="1"/>
      <c r="J1" s="1"/>
    </row>
    <row r="2" spans="1:10" ht="91">
      <c r="A2" s="120"/>
      <c r="B2" s="121" t="s">
        <v>61</v>
      </c>
      <c r="C2" s="121" t="s">
        <v>58</v>
      </c>
      <c r="D2" s="121" t="s">
        <v>0</v>
      </c>
      <c r="E2" s="121" t="s">
        <v>1</v>
      </c>
      <c r="F2" s="121" t="s">
        <v>57</v>
      </c>
      <c r="G2" s="121" t="s">
        <v>59</v>
      </c>
      <c r="H2" s="121" t="s">
        <v>60</v>
      </c>
      <c r="I2" s="122" t="s">
        <v>63</v>
      </c>
      <c r="J2" s="5" t="s">
        <v>5</v>
      </c>
    </row>
    <row r="3" spans="1:10" ht="29">
      <c r="A3" s="78">
        <v>1</v>
      </c>
      <c r="B3" s="60" t="s">
        <v>528</v>
      </c>
      <c r="C3" s="10" t="s">
        <v>22</v>
      </c>
      <c r="D3" s="10"/>
      <c r="E3" s="10"/>
      <c r="F3" s="9"/>
      <c r="G3" s="3" t="s">
        <v>541</v>
      </c>
      <c r="H3" s="9"/>
      <c r="I3" s="327"/>
      <c r="J3" s="328"/>
    </row>
    <row r="4" spans="1:10" ht="43.5">
      <c r="A4" s="78">
        <v>2</v>
      </c>
      <c r="B4" s="60" t="s">
        <v>529</v>
      </c>
      <c r="C4" s="10" t="s">
        <v>22</v>
      </c>
      <c r="D4" s="10"/>
      <c r="E4" s="10"/>
      <c r="F4" s="9"/>
      <c r="G4" s="3" t="s">
        <v>542</v>
      </c>
      <c r="H4" s="9"/>
      <c r="I4" s="6"/>
      <c r="J4" s="7"/>
    </row>
    <row r="5" spans="1:10" ht="43.5">
      <c r="A5" s="78">
        <v>3</v>
      </c>
      <c r="B5" s="47" t="s">
        <v>530</v>
      </c>
      <c r="C5" s="10" t="s">
        <v>22</v>
      </c>
      <c r="D5" s="10"/>
      <c r="E5" s="10"/>
      <c r="F5" s="9"/>
      <c r="G5" s="3" t="str">
        <f>+'[3]Portada '!$A$14</f>
        <v xml:space="preserve">Líder del proyecto / Project leader </v>
      </c>
      <c r="H5" s="9"/>
      <c r="I5" s="321"/>
      <c r="J5" s="345"/>
    </row>
    <row r="6" spans="1:10" ht="29">
      <c r="A6" s="78">
        <v>4</v>
      </c>
      <c r="B6" s="47" t="s">
        <v>544</v>
      </c>
      <c r="C6" s="10" t="s">
        <v>22</v>
      </c>
      <c r="D6" s="10"/>
      <c r="E6" s="10"/>
      <c r="F6" s="9"/>
      <c r="G6" s="3" t="str">
        <f>+'[3]Portada '!$A$17</f>
        <v>Process Engineer / PE</v>
      </c>
      <c r="H6" s="9"/>
      <c r="I6" s="1"/>
      <c r="J6" s="1"/>
    </row>
    <row r="7" spans="1:10" ht="43.5">
      <c r="A7" s="78">
        <v>5</v>
      </c>
      <c r="B7" s="47" t="s">
        <v>524</v>
      </c>
      <c r="C7" s="10" t="s">
        <v>22</v>
      </c>
      <c r="D7" s="10"/>
      <c r="E7" s="10"/>
      <c r="F7" s="9"/>
      <c r="G7" s="3" t="str">
        <f>+'[3]Portada '!$A$17</f>
        <v>Process Engineer / PE</v>
      </c>
      <c r="H7" s="9"/>
      <c r="I7" s="1"/>
      <c r="J7" s="1"/>
    </row>
    <row r="8" spans="1:10" ht="43.5">
      <c r="A8" s="78">
        <v>6</v>
      </c>
      <c r="B8" s="47" t="s">
        <v>536</v>
      </c>
      <c r="C8" s="10" t="s">
        <v>22</v>
      </c>
      <c r="D8" s="10"/>
      <c r="E8" s="10"/>
      <c r="F8" s="9"/>
      <c r="G8" s="3" t="str">
        <f>+'[3]Portada '!$A$17</f>
        <v>Process Engineer / PE</v>
      </c>
      <c r="H8" s="9"/>
      <c r="I8" s="1"/>
      <c r="J8" s="1"/>
    </row>
    <row r="9" spans="1:10" ht="29">
      <c r="A9" s="78">
        <v>7</v>
      </c>
      <c r="B9" s="47" t="s">
        <v>538</v>
      </c>
      <c r="C9" s="10" t="s">
        <v>22</v>
      </c>
      <c r="D9" s="10"/>
      <c r="E9" s="10"/>
      <c r="F9" s="9"/>
      <c r="G9" s="3" t="str">
        <f>+'[3]Portada '!$A$14</f>
        <v xml:space="preserve">Líder del proyecto / Project leader </v>
      </c>
      <c r="H9" s="9"/>
      <c r="I9" s="1"/>
      <c r="J9" s="1"/>
    </row>
    <row r="10" spans="1:10" ht="29">
      <c r="A10" s="78">
        <v>8</v>
      </c>
      <c r="B10" s="47" t="s">
        <v>537</v>
      </c>
      <c r="C10" s="10" t="s">
        <v>22</v>
      </c>
      <c r="D10" s="10"/>
      <c r="E10" s="10"/>
      <c r="F10" s="9"/>
      <c r="G10" s="3" t="str">
        <f>+'[3]Portada '!$A$14</f>
        <v xml:space="preserve">Líder del proyecto / Project leader </v>
      </c>
      <c r="H10" s="9"/>
      <c r="I10" s="1"/>
      <c r="J10" s="1"/>
    </row>
    <row r="11" spans="1:10" ht="29">
      <c r="A11" s="78">
        <v>9</v>
      </c>
      <c r="B11" s="47" t="s">
        <v>540</v>
      </c>
      <c r="C11" s="10" t="s">
        <v>22</v>
      </c>
      <c r="D11" s="10"/>
      <c r="E11" s="10"/>
      <c r="F11" s="9"/>
      <c r="G11" s="3" t="str">
        <f>+'[3]Portada '!$A$16</f>
        <v>Ingeniero de Calidad / QE</v>
      </c>
      <c r="H11" s="9"/>
      <c r="I11" s="1"/>
      <c r="J11" s="1"/>
    </row>
    <row r="12" spans="1:10" ht="43.5">
      <c r="A12" s="78">
        <v>10</v>
      </c>
      <c r="B12" s="47" t="s">
        <v>539</v>
      </c>
      <c r="C12" s="10" t="s">
        <v>22</v>
      </c>
      <c r="D12" s="10"/>
      <c r="E12" s="10"/>
      <c r="F12" s="9"/>
      <c r="G12" s="3" t="str">
        <f>+'[3]Portada '!$A$17</f>
        <v>Process Engineer / PE</v>
      </c>
      <c r="H12" s="9"/>
      <c r="I12" s="1"/>
      <c r="J12" s="1"/>
    </row>
  </sheetData>
  <customSheetViews>
    <customSheetView guid="{0D2B2804-9719-4CF5-836A-6C18EF806972}" showPageBreaks="1" view="pageBreakPreview" topLeftCell="A2">
      <selection activeCell="F4" sqref="F4"/>
      <pageMargins left="0.7" right="0.7" top="0.75" bottom="0.75" header="0.3" footer="0.3"/>
      <pageSetup scale="51" orientation="portrait" r:id="rId1"/>
    </customSheetView>
  </customSheetViews>
  <mergeCells count="4">
    <mergeCell ref="B1:D1"/>
    <mergeCell ref="E1:H1"/>
    <mergeCell ref="I3:J3"/>
    <mergeCell ref="I5:J5"/>
  </mergeCells>
  <pageMargins left="0.17" right="0.3" top="0.31" bottom="0.27" header="0.22" footer="0.16"/>
  <pageSetup scale="75" fitToHeight="0" orientation="landscape" r:id="rId2"/>
  <headerFooter alignWithMargins="0">
    <oddHeader xml:space="preserve">&amp;L
&amp;C
</oddHeader>
    <oddFooter>&amp;RF7100 Rev. 20/10/2020</oddFooter>
  </headerFooter>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Misc!$E$3:$E$4</xm:f>
          </x14:formula1>
          <xm:sqref>C3:E12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5">
    <tabColor rgb="FF00B0F0"/>
    <pageSetUpPr fitToPage="1"/>
  </sheetPr>
  <dimension ref="A1:J11"/>
  <sheetViews>
    <sheetView view="pageLayout" topLeftCell="A9" zoomScaleNormal="100" zoomScaleSheetLayoutView="100" workbookViewId="0">
      <selection activeCell="E32" sqref="E32:F32"/>
    </sheetView>
  </sheetViews>
  <sheetFormatPr defaultColWidth="11.453125" defaultRowHeight="14.5"/>
  <cols>
    <col min="2" max="2" width="46.54296875" customWidth="1"/>
    <col min="3" max="3" width="7.54296875" customWidth="1"/>
    <col min="4" max="5" width="5.1796875" customWidth="1"/>
    <col min="6" max="6" width="45.453125" customWidth="1"/>
    <col min="7" max="7" width="16.1796875" customWidth="1"/>
    <col min="10" max="10" width="14.453125" customWidth="1"/>
  </cols>
  <sheetData>
    <row r="1" spans="1:10" ht="45.75" customHeight="1">
      <c r="A1" s="8"/>
      <c r="B1" s="320"/>
      <c r="C1" s="320"/>
      <c r="D1" s="320"/>
      <c r="E1" s="323" t="s">
        <v>335</v>
      </c>
      <c r="F1" s="323"/>
      <c r="G1" s="323"/>
      <c r="H1" s="323"/>
      <c r="I1" s="1"/>
      <c r="J1" s="1"/>
    </row>
    <row r="2" spans="1:10" ht="91">
      <c r="A2" s="120"/>
      <c r="B2" s="121" t="s">
        <v>61</v>
      </c>
      <c r="C2" s="121" t="s">
        <v>58</v>
      </c>
      <c r="D2" s="121" t="s">
        <v>0</v>
      </c>
      <c r="E2" s="121" t="s">
        <v>1</v>
      </c>
      <c r="F2" s="121" t="s">
        <v>57</v>
      </c>
      <c r="G2" s="121" t="s">
        <v>59</v>
      </c>
      <c r="H2" s="121" t="s">
        <v>60</v>
      </c>
      <c r="I2" s="122" t="s">
        <v>63</v>
      </c>
      <c r="J2" s="4" t="s">
        <v>21</v>
      </c>
    </row>
    <row r="3" spans="1:10" ht="43.5">
      <c r="A3" s="78">
        <v>1</v>
      </c>
      <c r="B3" s="47" t="s">
        <v>549</v>
      </c>
      <c r="C3" s="10" t="s">
        <v>22</v>
      </c>
      <c r="D3" s="10"/>
      <c r="E3" s="10"/>
      <c r="F3" s="9"/>
      <c r="G3" s="3" t="str">
        <f>+'Portada '!$A$16</f>
        <v>Ingeniero de Calidad / QE</v>
      </c>
      <c r="H3" s="9"/>
      <c r="I3" s="1"/>
      <c r="J3" s="1"/>
    </row>
    <row r="4" spans="1:10" ht="29">
      <c r="A4" s="79">
        <v>2</v>
      </c>
      <c r="B4" s="190" t="s">
        <v>550</v>
      </c>
      <c r="C4" s="10" t="s">
        <v>22</v>
      </c>
      <c r="D4" s="10"/>
      <c r="E4" s="10"/>
      <c r="F4" s="9"/>
      <c r="G4" s="3" t="str">
        <f>+'Portada '!$A$16</f>
        <v>Ingeniero de Calidad / QE</v>
      </c>
      <c r="H4" s="9"/>
      <c r="I4" s="1"/>
      <c r="J4" s="1"/>
    </row>
    <row r="5" spans="1:10" ht="29">
      <c r="A5" s="79">
        <v>3</v>
      </c>
      <c r="B5" s="190" t="s">
        <v>551</v>
      </c>
      <c r="C5" s="10" t="s">
        <v>22</v>
      </c>
      <c r="D5" s="10"/>
      <c r="E5" s="10"/>
      <c r="F5" s="9"/>
      <c r="G5" s="3" t="str">
        <f>+'Portada '!$A$16</f>
        <v>Ingeniero de Calidad / QE</v>
      </c>
      <c r="H5" s="9"/>
      <c r="I5" s="1"/>
      <c r="J5" s="1"/>
    </row>
    <row r="6" spans="1:10" ht="58">
      <c r="A6" s="78">
        <v>4</v>
      </c>
      <c r="B6" s="190" t="s">
        <v>552</v>
      </c>
      <c r="C6" s="10" t="s">
        <v>22</v>
      </c>
      <c r="D6" s="10"/>
      <c r="E6" s="10"/>
      <c r="F6" s="9"/>
      <c r="G6" s="3" t="str">
        <f>+'Portada '!$A$16</f>
        <v>Ingeniero de Calidad / QE</v>
      </c>
      <c r="H6" s="9"/>
      <c r="I6" s="1"/>
      <c r="J6" s="1"/>
    </row>
    <row r="7" spans="1:10" ht="43.5">
      <c r="A7" s="79">
        <v>5</v>
      </c>
      <c r="B7" s="190" t="s">
        <v>553</v>
      </c>
      <c r="C7" s="10" t="s">
        <v>22</v>
      </c>
      <c r="D7" s="10"/>
      <c r="E7" s="10"/>
      <c r="F7" s="9"/>
      <c r="G7" s="3" t="str">
        <f>+'Portada '!$A$16</f>
        <v>Ingeniero de Calidad / QE</v>
      </c>
      <c r="H7" s="9"/>
      <c r="I7" s="1"/>
      <c r="J7" s="1"/>
    </row>
    <row r="8" spans="1:10" ht="58">
      <c r="A8" s="79">
        <v>6</v>
      </c>
      <c r="B8" s="190" t="s">
        <v>554</v>
      </c>
      <c r="C8" s="10" t="s">
        <v>22</v>
      </c>
      <c r="D8" s="10"/>
      <c r="E8" s="10"/>
      <c r="F8" s="9"/>
      <c r="G8" s="3" t="str">
        <f>+'Portada '!$A$16</f>
        <v>Ingeniero de Calidad / QE</v>
      </c>
      <c r="H8" s="9"/>
      <c r="I8" s="1"/>
      <c r="J8" s="1"/>
    </row>
    <row r="9" spans="1:10" ht="58">
      <c r="A9" s="78">
        <v>7</v>
      </c>
      <c r="B9" s="190" t="s">
        <v>65</v>
      </c>
      <c r="C9" s="10" t="s">
        <v>22</v>
      </c>
      <c r="D9" s="10"/>
      <c r="E9" s="10"/>
      <c r="F9" s="9"/>
      <c r="G9" s="3" t="str">
        <f>+'Portada '!$A$16</f>
        <v>Ingeniero de Calidad / QE</v>
      </c>
      <c r="H9" s="9"/>
      <c r="I9" s="1"/>
      <c r="J9" s="1"/>
    </row>
    <row r="10" spans="1:10" ht="58">
      <c r="A10" s="79">
        <v>8</v>
      </c>
      <c r="B10" s="190" t="s">
        <v>66</v>
      </c>
      <c r="C10" s="10" t="s">
        <v>22</v>
      </c>
      <c r="D10" s="10"/>
      <c r="E10" s="10"/>
      <c r="F10" s="9"/>
      <c r="G10" s="3" t="str">
        <f>+'Portada '!$A$16</f>
        <v>Ingeniero de Calidad / QE</v>
      </c>
      <c r="H10" s="9"/>
      <c r="I10" s="1"/>
      <c r="J10" s="1"/>
    </row>
    <row r="11" spans="1:10" ht="43.5">
      <c r="A11" s="79">
        <v>9</v>
      </c>
      <c r="B11" s="190" t="s">
        <v>555</v>
      </c>
      <c r="C11" s="10" t="s">
        <v>22</v>
      </c>
      <c r="D11" s="10"/>
      <c r="E11" s="10"/>
      <c r="F11" s="9"/>
      <c r="G11" s="3" t="str">
        <f>+'Portada '!$A$16</f>
        <v>Ingeniero de Calidad / QE</v>
      </c>
      <c r="H11" s="9"/>
      <c r="I11" s="1"/>
      <c r="J11" s="1"/>
    </row>
  </sheetData>
  <customSheetViews>
    <customSheetView guid="{0D2B2804-9719-4CF5-836A-6C18EF806972}" showPageBreaks="1" printArea="1" view="pageBreakPreview">
      <selection activeCell="C3" sqref="C3"/>
      <pageMargins left="0.7" right="0.7" top="0.75" bottom="0.75" header="0.3" footer="0.3"/>
      <pageSetup scale="43" orientation="portrait" r:id="rId1"/>
    </customSheetView>
    <customSheetView guid="{F51EB4BE-1505-43EE-8F62-937E5A5046CB}" showPageBreaks="1" printArea="1" view="pageBreakPreview">
      <selection activeCell="F5" sqref="F5"/>
      <pageMargins left="0.7" right="0.7" top="0.75" bottom="0.75" header="0.3" footer="0.3"/>
      <pageSetup scale="43" orientation="portrait" r:id="rId2"/>
    </customSheetView>
  </customSheetViews>
  <mergeCells count="2">
    <mergeCell ref="B1:D1"/>
    <mergeCell ref="E1:H1"/>
  </mergeCells>
  <pageMargins left="0.17" right="0.3" top="0.31" bottom="0.27" header="0.22" footer="0.16"/>
  <pageSetup scale="76"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400-000000000000}">
          <x14:formula1>
            <xm:f>Misc!$E$3:$E$4</xm:f>
          </x14:formula1>
          <xm:sqref>C3:E11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tabColor rgb="FF00B0F0"/>
    <pageSetUpPr fitToPage="1"/>
  </sheetPr>
  <dimension ref="A1:J9"/>
  <sheetViews>
    <sheetView view="pageLayout" topLeftCell="A2" zoomScaleNormal="100" zoomScaleSheetLayoutView="100" workbookViewId="0">
      <selection activeCell="E32" sqref="E32:F32"/>
    </sheetView>
  </sheetViews>
  <sheetFormatPr defaultColWidth="11.453125" defaultRowHeight="14.5"/>
  <cols>
    <col min="1" max="1" width="6.7265625" customWidth="1"/>
    <col min="2" max="2" width="51.7265625" customWidth="1"/>
    <col min="6" max="6" width="39.81640625" customWidth="1"/>
    <col min="7" max="7" width="15.54296875" customWidth="1"/>
    <col min="10" max="10" width="13.81640625" customWidth="1"/>
  </cols>
  <sheetData>
    <row r="1" spans="1:10" ht="45.75" customHeight="1">
      <c r="A1" s="8"/>
      <c r="B1" s="320"/>
      <c r="C1" s="320"/>
      <c r="D1" s="320"/>
      <c r="E1" s="323" t="s">
        <v>335</v>
      </c>
      <c r="F1" s="323"/>
      <c r="G1" s="323"/>
      <c r="H1" s="323"/>
      <c r="I1" s="1"/>
      <c r="J1" s="1"/>
    </row>
    <row r="2" spans="1:10" ht="91">
      <c r="A2" s="120"/>
      <c r="B2" s="121" t="s">
        <v>61</v>
      </c>
      <c r="C2" s="121" t="s">
        <v>58</v>
      </c>
      <c r="D2" s="121" t="s">
        <v>0</v>
      </c>
      <c r="E2" s="121" t="s">
        <v>1</v>
      </c>
      <c r="F2" s="121" t="s">
        <v>57</v>
      </c>
      <c r="G2" s="121" t="s">
        <v>59</v>
      </c>
      <c r="H2" s="121" t="s">
        <v>60</v>
      </c>
      <c r="I2" s="122" t="s">
        <v>63</v>
      </c>
      <c r="J2" s="4" t="s">
        <v>7</v>
      </c>
    </row>
    <row r="3" spans="1:10" ht="43.5">
      <c r="A3" s="78">
        <v>1</v>
      </c>
      <c r="B3" s="47" t="s">
        <v>556</v>
      </c>
      <c r="C3" s="10" t="s">
        <v>22</v>
      </c>
      <c r="D3" s="10"/>
      <c r="E3" s="10"/>
      <c r="F3" s="9"/>
      <c r="G3" s="3" t="str">
        <f>+'Portada '!$A$16</f>
        <v>Ingeniero de Calidad / QE</v>
      </c>
      <c r="H3" s="9"/>
      <c r="I3" s="19"/>
      <c r="J3" s="19"/>
    </row>
    <row r="4" spans="1:10" ht="58">
      <c r="A4" s="78">
        <v>2</v>
      </c>
      <c r="B4" s="47" t="s">
        <v>557</v>
      </c>
      <c r="C4" s="10" t="s">
        <v>22</v>
      </c>
      <c r="D4" s="10"/>
      <c r="E4" s="10"/>
      <c r="F4" s="9"/>
      <c r="G4" s="3" t="str">
        <f>+'Portada '!$A$16</f>
        <v>Ingeniero de Calidad / QE</v>
      </c>
      <c r="H4" s="9"/>
      <c r="I4" s="2"/>
      <c r="J4" s="2"/>
    </row>
    <row r="5" spans="1:10" ht="43.5">
      <c r="A5" s="78">
        <v>3</v>
      </c>
      <c r="B5" s="47" t="s">
        <v>558</v>
      </c>
      <c r="C5" s="10" t="s">
        <v>22</v>
      </c>
      <c r="D5" s="10"/>
      <c r="E5" s="10"/>
      <c r="F5" s="9"/>
      <c r="G5" s="3" t="str">
        <f>+'Portada '!$A$16</f>
        <v>Ingeniero de Calidad / QE</v>
      </c>
      <c r="H5" s="9"/>
      <c r="I5" s="2"/>
      <c r="J5" s="2"/>
    </row>
    <row r="6" spans="1:10" ht="29">
      <c r="A6" s="78">
        <v>4</v>
      </c>
      <c r="B6" s="47" t="s">
        <v>559</v>
      </c>
      <c r="C6" s="10" t="s">
        <v>22</v>
      </c>
      <c r="D6" s="10"/>
      <c r="E6" s="10"/>
      <c r="F6" s="9"/>
      <c r="G6" s="3" t="str">
        <f>+'Portada '!$A$16</f>
        <v>Ingeniero de Calidad / QE</v>
      </c>
      <c r="H6" s="9"/>
      <c r="I6" s="2"/>
      <c r="J6" s="2"/>
    </row>
    <row r="7" spans="1:10" ht="58">
      <c r="A7" s="78">
        <v>5</v>
      </c>
      <c r="B7" s="47" t="s">
        <v>561</v>
      </c>
      <c r="C7" s="10"/>
      <c r="D7" s="10"/>
      <c r="E7" s="10" t="s">
        <v>22</v>
      </c>
      <c r="F7" s="9"/>
      <c r="G7" s="3" t="str">
        <f>+'Portada '!$A$16</f>
        <v>Ingeniero de Calidad / QE</v>
      </c>
      <c r="H7" s="9"/>
      <c r="I7" s="2"/>
      <c r="J7" s="2"/>
    </row>
    <row r="8" spans="1:10" ht="43.5">
      <c r="A8" s="78">
        <v>6</v>
      </c>
      <c r="B8" s="47" t="s">
        <v>562</v>
      </c>
      <c r="C8" s="10" t="s">
        <v>22</v>
      </c>
      <c r="D8" s="10"/>
      <c r="E8" s="10"/>
      <c r="F8" s="9" t="s">
        <v>742</v>
      </c>
      <c r="G8" s="3" t="str">
        <f>+'Portada '!$A$16</f>
        <v>Ingeniero de Calidad / QE</v>
      </c>
      <c r="H8" s="217">
        <v>45566</v>
      </c>
      <c r="I8" s="2"/>
      <c r="J8" s="2"/>
    </row>
    <row r="9" spans="1:10" ht="58">
      <c r="A9" s="78">
        <v>7</v>
      </c>
      <c r="B9" s="47" t="s">
        <v>560</v>
      </c>
      <c r="C9" s="10" t="s">
        <v>22</v>
      </c>
      <c r="D9" s="10"/>
      <c r="E9" s="10"/>
      <c r="F9" s="9"/>
      <c r="G9" s="3" t="str">
        <f>+'Portada '!$A$16</f>
        <v>Ingeniero de Calidad / QE</v>
      </c>
      <c r="H9" s="9"/>
      <c r="I9" s="2"/>
      <c r="J9" s="2"/>
    </row>
  </sheetData>
  <customSheetViews>
    <customSheetView guid="{0D2B2804-9719-4CF5-836A-6C18EF806972}" showPageBreaks="1" printArea="1" view="pageBreakPreview" topLeftCell="A2">
      <selection activeCell="C5" sqref="C5"/>
      <colBreaks count="1" manualBreakCount="1">
        <brk id="11" max="1048575" man="1"/>
      </colBreaks>
      <pageMargins left="0.7" right="0.7" top="0.75" bottom="0.75" header="0.3" footer="0.3"/>
      <pageSetup scale="46" orientation="portrait" r:id="rId1"/>
    </customSheetView>
    <customSheetView guid="{F51EB4BE-1505-43EE-8F62-937E5A5046CB}" showPageBreaks="1" printArea="1" view="pageBreakPreview">
      <selection activeCell="G3" sqref="G3:G9"/>
      <colBreaks count="1" manualBreakCount="1">
        <brk id="11" max="1048575" man="1"/>
      </colBreaks>
      <pageMargins left="0.7" right="0.7" top="0.75" bottom="0.75" header="0.3" footer="0.3"/>
      <pageSetup scale="46" orientation="portrait" r:id="rId2"/>
    </customSheetView>
  </customSheetViews>
  <mergeCells count="2">
    <mergeCell ref="B1:D1"/>
    <mergeCell ref="E1:H1"/>
  </mergeCells>
  <pageMargins left="0.17" right="0.3" top="0.31" bottom="0.27" header="0.22" footer="0.16"/>
  <pageSetup scale="72" fitToHeight="0" orientation="landscape" r:id="rId3"/>
  <headerFooter alignWithMargins="0">
    <oddHeader xml:space="preserve">&amp;L
&amp;C
</oddHeader>
    <oddFooter>&amp;RF7100 Rev. 20/10/2020</oddFooter>
  </headerFooter>
  <colBreaks count="1" manualBreakCount="1">
    <brk id="11" max="1048575" man="1"/>
  </colBreaks>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Misc!$E$3:$E$4</xm:f>
          </x14:formula1>
          <xm:sqref>C3:E9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7">
    <tabColor rgb="FF00B0F0"/>
    <pageSetUpPr fitToPage="1"/>
  </sheetPr>
  <dimension ref="A1:J21"/>
  <sheetViews>
    <sheetView view="pageLayout" topLeftCell="A2" zoomScaleNormal="100" zoomScaleSheetLayoutView="100" workbookViewId="0">
      <selection activeCell="E32" sqref="E32:F32"/>
    </sheetView>
  </sheetViews>
  <sheetFormatPr defaultColWidth="11.453125" defaultRowHeight="14.5"/>
  <cols>
    <col min="1" max="1" width="5.7265625" customWidth="1"/>
    <col min="2" max="2" width="55.54296875" customWidth="1"/>
    <col min="5" max="5" width="11.453125" customWidth="1"/>
    <col min="6" max="6" width="46" customWidth="1"/>
    <col min="7" max="7" width="16.7265625" customWidth="1"/>
  </cols>
  <sheetData>
    <row r="1" spans="1:10" ht="45.75" customHeight="1">
      <c r="A1" s="8"/>
      <c r="B1" s="320"/>
      <c r="C1" s="320"/>
      <c r="D1" s="320"/>
      <c r="E1" s="323" t="s">
        <v>335</v>
      </c>
      <c r="F1" s="323"/>
      <c r="G1" s="323"/>
      <c r="H1" s="323"/>
      <c r="I1" s="1"/>
      <c r="J1" s="1"/>
    </row>
    <row r="2" spans="1:10" ht="29">
      <c r="A2" s="120"/>
      <c r="B2" s="121" t="s">
        <v>61</v>
      </c>
      <c r="C2" s="121" t="s">
        <v>58</v>
      </c>
      <c r="D2" s="121" t="s">
        <v>0</v>
      </c>
      <c r="E2" s="121" t="s">
        <v>1</v>
      </c>
      <c r="F2" s="121" t="s">
        <v>57</v>
      </c>
      <c r="G2" s="121" t="s">
        <v>59</v>
      </c>
      <c r="H2" s="121" t="s">
        <v>60</v>
      </c>
      <c r="I2" s="1"/>
      <c r="J2" s="1"/>
    </row>
    <row r="3" spans="1:10" ht="29">
      <c r="A3" s="78">
        <v>1</v>
      </c>
      <c r="B3" s="47" t="s">
        <v>563</v>
      </c>
      <c r="C3" s="10" t="s">
        <v>22</v>
      </c>
      <c r="D3" s="10"/>
      <c r="E3" s="10"/>
      <c r="F3" s="9"/>
      <c r="G3" s="3" t="str">
        <f>+'Portada '!$A$16</f>
        <v>Ingeniero de Calidad / QE</v>
      </c>
      <c r="H3" s="9"/>
      <c r="I3" s="321"/>
      <c r="J3" s="322"/>
    </row>
    <row r="4" spans="1:10" ht="29">
      <c r="A4" s="78">
        <v>2</v>
      </c>
      <c r="B4" s="189" t="s">
        <v>564</v>
      </c>
      <c r="C4" s="10" t="s">
        <v>22</v>
      </c>
      <c r="D4" s="10"/>
      <c r="E4" s="10"/>
      <c r="F4" s="9"/>
      <c r="G4" s="3" t="str">
        <f>+'Portada '!$A$16</f>
        <v>Ingeniero de Calidad / QE</v>
      </c>
      <c r="H4" s="9"/>
      <c r="I4" s="1"/>
      <c r="J4" s="1"/>
    </row>
    <row r="5" spans="1:10" ht="29">
      <c r="A5" s="78">
        <v>3</v>
      </c>
      <c r="B5" s="189" t="s">
        <v>565</v>
      </c>
      <c r="C5" s="10" t="s">
        <v>22</v>
      </c>
      <c r="D5" s="10"/>
      <c r="E5" s="10"/>
      <c r="F5" s="9"/>
      <c r="G5" s="3" t="str">
        <f>+'Portada '!$A$16</f>
        <v>Ingeniero de Calidad / QE</v>
      </c>
      <c r="H5" s="9"/>
      <c r="I5" s="1"/>
      <c r="J5" s="1"/>
    </row>
    <row r="6" spans="1:10" ht="29">
      <c r="A6" s="78">
        <v>4</v>
      </c>
      <c r="B6" s="189" t="s">
        <v>566</v>
      </c>
      <c r="C6" s="10" t="s">
        <v>22</v>
      </c>
      <c r="D6" s="10"/>
      <c r="E6" s="10"/>
      <c r="F6" s="9"/>
      <c r="G6" s="3" t="str">
        <f>+'Portada '!$A$16</f>
        <v>Ingeniero de Calidad / QE</v>
      </c>
      <c r="H6" s="9"/>
      <c r="I6" s="1"/>
      <c r="J6" s="1"/>
    </row>
    <row r="7" spans="1:10" ht="29">
      <c r="A7" s="78">
        <v>5</v>
      </c>
      <c r="B7" s="189" t="s">
        <v>567</v>
      </c>
      <c r="C7" s="10" t="s">
        <v>22</v>
      </c>
      <c r="D7" s="10"/>
      <c r="E7" s="10"/>
      <c r="F7" s="9"/>
      <c r="G7" s="3" t="str">
        <f>+'Portada '!$A$16</f>
        <v>Ingeniero de Calidad / QE</v>
      </c>
      <c r="H7" s="9"/>
      <c r="I7" s="1"/>
      <c r="J7" s="1"/>
    </row>
    <row r="8" spans="1:10" ht="29">
      <c r="A8" s="78">
        <v>6</v>
      </c>
      <c r="B8" s="189" t="s">
        <v>568</v>
      </c>
      <c r="C8" s="10" t="s">
        <v>22</v>
      </c>
      <c r="D8" s="10"/>
      <c r="E8" s="10"/>
      <c r="F8" s="9"/>
      <c r="G8" s="3" t="str">
        <f>+'Portada '!$A$16</f>
        <v>Ingeniero de Calidad / QE</v>
      </c>
      <c r="H8" s="9"/>
      <c r="I8" s="1"/>
      <c r="J8" s="1"/>
    </row>
    <row r="9" spans="1:10" ht="29">
      <c r="A9" s="78">
        <v>7</v>
      </c>
      <c r="B9" s="189" t="s">
        <v>569</v>
      </c>
      <c r="C9" s="10" t="s">
        <v>22</v>
      </c>
      <c r="D9" s="10"/>
      <c r="E9" s="10"/>
      <c r="F9" s="9"/>
      <c r="G9" s="3" t="str">
        <f>+'Portada '!$A$16</f>
        <v>Ingeniero de Calidad / QE</v>
      </c>
      <c r="H9" s="9"/>
      <c r="I9" s="1"/>
      <c r="J9" s="1"/>
    </row>
    <row r="10" spans="1:10" ht="29">
      <c r="A10" s="78">
        <v>8</v>
      </c>
      <c r="B10" s="189" t="s">
        <v>570</v>
      </c>
      <c r="C10" s="10" t="s">
        <v>22</v>
      </c>
      <c r="D10" s="10"/>
      <c r="E10" s="10"/>
      <c r="F10" s="9"/>
      <c r="G10" s="3" t="str">
        <f>+'Portada '!$A$16</f>
        <v>Ingeniero de Calidad / QE</v>
      </c>
      <c r="H10" s="9"/>
      <c r="I10" s="1"/>
      <c r="J10" s="1"/>
    </row>
    <row r="11" spans="1:10" ht="29">
      <c r="A11" s="78">
        <v>9</v>
      </c>
      <c r="B11" s="189" t="s">
        <v>571</v>
      </c>
      <c r="C11" s="10" t="s">
        <v>22</v>
      </c>
      <c r="D11" s="10"/>
      <c r="E11" s="10"/>
      <c r="F11" s="9"/>
      <c r="G11" s="3" t="str">
        <f>+'Portada '!$A$16</f>
        <v>Ingeniero de Calidad / QE</v>
      </c>
      <c r="H11" s="9"/>
      <c r="I11" s="1"/>
      <c r="J11" s="1"/>
    </row>
    <row r="12" spans="1:10" ht="29">
      <c r="A12" s="78">
        <v>10</v>
      </c>
      <c r="B12" s="189" t="s">
        <v>572</v>
      </c>
      <c r="C12" s="10" t="s">
        <v>22</v>
      </c>
      <c r="D12" s="10"/>
      <c r="E12" s="10"/>
      <c r="F12" s="9"/>
      <c r="G12" s="3" t="str">
        <f>+'Portada '!$A$16</f>
        <v>Ingeniero de Calidad / QE</v>
      </c>
      <c r="H12" s="9"/>
      <c r="I12" s="1"/>
      <c r="J12" s="1"/>
    </row>
    <row r="13" spans="1:10" ht="29">
      <c r="A13" s="78">
        <v>11</v>
      </c>
      <c r="B13" s="189" t="s">
        <v>573</v>
      </c>
      <c r="C13" s="10" t="s">
        <v>22</v>
      </c>
      <c r="D13" s="10"/>
      <c r="E13" s="10"/>
      <c r="F13" s="9"/>
      <c r="G13" s="3" t="str">
        <f>+'Portada '!$A$16</f>
        <v>Ingeniero de Calidad / QE</v>
      </c>
      <c r="H13" s="9"/>
      <c r="I13" s="1"/>
      <c r="J13" s="1"/>
    </row>
    <row r="14" spans="1:10" ht="29">
      <c r="A14" s="78">
        <v>12</v>
      </c>
      <c r="B14" s="189" t="s">
        <v>574</v>
      </c>
      <c r="C14" s="10" t="s">
        <v>22</v>
      </c>
      <c r="D14" s="10"/>
      <c r="E14" s="10"/>
      <c r="F14" s="9"/>
      <c r="G14" s="3" t="str">
        <f>+'Portada '!$A$16</f>
        <v>Ingeniero de Calidad / QE</v>
      </c>
      <c r="H14" s="9"/>
      <c r="I14" s="1"/>
      <c r="J14" s="1"/>
    </row>
    <row r="15" spans="1:10" ht="29">
      <c r="A15" s="78">
        <v>13</v>
      </c>
      <c r="B15" s="189" t="s">
        <v>575</v>
      </c>
      <c r="C15" s="10"/>
      <c r="D15" s="10"/>
      <c r="E15" s="10" t="s">
        <v>22</v>
      </c>
      <c r="F15" s="9"/>
      <c r="G15" s="3" t="str">
        <f>+'Portada '!$A$16</f>
        <v>Ingeniero de Calidad / QE</v>
      </c>
      <c r="H15" s="9"/>
      <c r="I15" s="1"/>
      <c r="J15" s="1"/>
    </row>
    <row r="16" spans="1:10" ht="29">
      <c r="A16" s="78">
        <v>14</v>
      </c>
      <c r="B16" s="189" t="s">
        <v>576</v>
      </c>
      <c r="C16" s="10" t="s">
        <v>22</v>
      </c>
      <c r="D16" s="10"/>
      <c r="E16" s="10"/>
      <c r="F16" s="9"/>
      <c r="G16" s="3" t="str">
        <f>+'Portada '!$A$16</f>
        <v>Ingeniero de Calidad / QE</v>
      </c>
      <c r="H16" s="9"/>
      <c r="I16" s="1"/>
      <c r="J16" s="1"/>
    </row>
    <row r="17" spans="1:8" ht="29">
      <c r="A17" s="78">
        <v>15</v>
      </c>
      <c r="B17" s="189" t="s">
        <v>577</v>
      </c>
      <c r="C17" s="10" t="s">
        <v>22</v>
      </c>
      <c r="D17" s="10"/>
      <c r="E17" s="10"/>
      <c r="F17" s="9"/>
      <c r="G17" s="3" t="str">
        <f>+'Portada '!$A$16</f>
        <v>Ingeniero de Calidad / QE</v>
      </c>
      <c r="H17" s="9"/>
    </row>
    <row r="18" spans="1:8" ht="29">
      <c r="A18" s="78">
        <v>16</v>
      </c>
      <c r="B18" s="189" t="s">
        <v>578</v>
      </c>
      <c r="C18" s="10" t="s">
        <v>22</v>
      </c>
      <c r="D18" s="10"/>
      <c r="E18" s="10"/>
      <c r="F18" s="9"/>
      <c r="G18" s="3" t="str">
        <f>+'Portada '!$A$16</f>
        <v>Ingeniero de Calidad / QE</v>
      </c>
      <c r="H18" s="9"/>
    </row>
    <row r="19" spans="1:8" ht="29">
      <c r="A19" s="78">
        <v>17</v>
      </c>
      <c r="B19" s="189" t="s">
        <v>579</v>
      </c>
      <c r="C19" s="10" t="s">
        <v>22</v>
      </c>
      <c r="D19" s="10"/>
      <c r="E19" s="10"/>
      <c r="F19" s="9"/>
      <c r="G19" s="3" t="str">
        <f>+'Portada '!$A$16</f>
        <v>Ingeniero de Calidad / QE</v>
      </c>
      <c r="H19" s="9"/>
    </row>
    <row r="20" spans="1:8" ht="29">
      <c r="A20" s="78">
        <v>18</v>
      </c>
      <c r="B20" s="189" t="s">
        <v>580</v>
      </c>
      <c r="C20" s="10" t="s">
        <v>22</v>
      </c>
      <c r="D20" s="10"/>
      <c r="E20" s="10"/>
      <c r="F20" s="9"/>
      <c r="G20" s="3" t="str">
        <f>+'Portada '!$A$16</f>
        <v>Ingeniero de Calidad / QE</v>
      </c>
      <c r="H20" s="9"/>
    </row>
    <row r="21" spans="1:8" ht="29">
      <c r="A21" s="78">
        <v>19</v>
      </c>
      <c r="B21" s="189" t="s">
        <v>581</v>
      </c>
      <c r="C21" s="10" t="s">
        <v>22</v>
      </c>
      <c r="D21" s="10"/>
      <c r="E21" s="10"/>
      <c r="F21" s="9"/>
      <c r="G21" s="3" t="str">
        <f>+'Portada '!$A$16</f>
        <v>Ingeniero de Calidad / QE</v>
      </c>
      <c r="H21" s="9"/>
    </row>
  </sheetData>
  <customSheetViews>
    <customSheetView guid="{0D2B2804-9719-4CF5-836A-6C18EF806972}" showPageBreaks="1" view="pageBreakPreview">
      <selection activeCell="E3" sqref="E3"/>
      <pageMargins left="0.7" right="0.7" top="0.75" bottom="0.75" header="0.3" footer="0.3"/>
      <pageSetup scale="47" orientation="portrait" r:id="rId1"/>
    </customSheetView>
    <customSheetView guid="{F51EB4BE-1505-43EE-8F62-937E5A5046CB}" showPageBreaks="1" view="pageBreakPreview">
      <selection activeCell="G3" sqref="G3:G21"/>
      <pageMargins left="0.7" right="0.7" top="0.75" bottom="0.75" header="0.3" footer="0.3"/>
      <pageSetup scale="47" orientation="portrait" r:id="rId2"/>
    </customSheetView>
  </customSheetViews>
  <mergeCells count="3">
    <mergeCell ref="B1:D1"/>
    <mergeCell ref="I3:J3"/>
    <mergeCell ref="E1:H1"/>
  </mergeCells>
  <pageMargins left="0.17" right="0.3" top="0.31" bottom="0.27" header="0.22" footer="0.16"/>
  <pageSetup scale="69"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Misc!$E$3:$E$4</xm:f>
          </x14:formula1>
          <xm:sqref>D3:E18 C3:C21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8">
    <tabColor rgb="FF00B0F0"/>
    <pageSetUpPr fitToPage="1"/>
  </sheetPr>
  <dimension ref="A1:J6"/>
  <sheetViews>
    <sheetView view="pageLayout" topLeftCell="A4" zoomScaleNormal="100" zoomScaleSheetLayoutView="100" workbookViewId="0">
      <selection activeCell="E32" sqref="E32:F32"/>
    </sheetView>
  </sheetViews>
  <sheetFormatPr defaultColWidth="11.453125" defaultRowHeight="14.5"/>
  <cols>
    <col min="1" max="1" width="6.453125" customWidth="1"/>
    <col min="2" max="2" width="56.26953125" customWidth="1"/>
    <col min="3" max="3" width="9.81640625" customWidth="1"/>
    <col min="4" max="5" width="6.54296875" customWidth="1"/>
    <col min="6" max="6" width="47.1796875" customWidth="1"/>
    <col min="7" max="7" width="16.1796875" customWidth="1"/>
  </cols>
  <sheetData>
    <row r="1" spans="1:10" ht="45.75" customHeight="1">
      <c r="A1" s="8"/>
      <c r="B1" s="320"/>
      <c r="C1" s="320"/>
      <c r="D1" s="320"/>
      <c r="E1" s="323" t="s">
        <v>335</v>
      </c>
      <c r="F1" s="323"/>
      <c r="G1" s="323"/>
      <c r="H1" s="323"/>
      <c r="I1" s="1"/>
      <c r="J1" s="1"/>
    </row>
    <row r="2" spans="1:10" ht="29">
      <c r="A2" s="120"/>
      <c r="B2" s="121" t="s">
        <v>61</v>
      </c>
      <c r="C2" s="121" t="s">
        <v>58</v>
      </c>
      <c r="D2" s="121" t="s">
        <v>0</v>
      </c>
      <c r="E2" s="121" t="s">
        <v>1</v>
      </c>
      <c r="F2" s="121" t="s">
        <v>57</v>
      </c>
      <c r="G2" s="121" t="s">
        <v>59</v>
      </c>
      <c r="H2" s="121" t="s">
        <v>60</v>
      </c>
      <c r="I2" s="1"/>
      <c r="J2" s="1"/>
    </row>
    <row r="3" spans="1:10" ht="43.5">
      <c r="A3" s="78">
        <v>1</v>
      </c>
      <c r="B3" s="3" t="s">
        <v>582</v>
      </c>
      <c r="C3" s="10" t="s">
        <v>22</v>
      </c>
      <c r="D3" s="10"/>
      <c r="E3" s="10"/>
      <c r="F3" s="9"/>
      <c r="G3" s="3" t="s">
        <v>603</v>
      </c>
      <c r="H3" s="9"/>
      <c r="I3" s="321"/>
      <c r="J3" s="322"/>
    </row>
    <row r="4" spans="1:10" ht="43.5">
      <c r="A4" s="78">
        <v>2</v>
      </c>
      <c r="B4" s="3" t="s">
        <v>620</v>
      </c>
      <c r="C4" s="10" t="s">
        <v>22</v>
      </c>
      <c r="D4" s="10"/>
      <c r="E4" s="10"/>
      <c r="F4" s="9"/>
      <c r="G4" s="3" t="s">
        <v>603</v>
      </c>
      <c r="H4" s="9"/>
      <c r="I4" s="1"/>
      <c r="J4" s="1"/>
    </row>
    <row r="5" spans="1:10" ht="43.5">
      <c r="A5" s="78">
        <v>3</v>
      </c>
      <c r="B5" s="3" t="s">
        <v>619</v>
      </c>
      <c r="C5" s="10" t="s">
        <v>22</v>
      </c>
      <c r="D5" s="10"/>
      <c r="E5" s="10"/>
      <c r="F5" s="9"/>
      <c r="G5" s="3" t="s">
        <v>603</v>
      </c>
      <c r="H5" s="9"/>
      <c r="I5" s="1"/>
      <c r="J5" s="1"/>
    </row>
    <row r="6" spans="1:10" ht="43.5">
      <c r="A6" s="78">
        <v>4</v>
      </c>
      <c r="B6" s="3" t="s">
        <v>618</v>
      </c>
      <c r="C6" s="10" t="s">
        <v>22</v>
      </c>
      <c r="D6" s="10"/>
      <c r="E6" s="10"/>
      <c r="F6" s="9"/>
      <c r="G6" s="3" t="s">
        <v>603</v>
      </c>
      <c r="H6" s="9"/>
      <c r="I6" s="1"/>
      <c r="J6" s="1"/>
    </row>
  </sheetData>
  <customSheetViews>
    <customSheetView guid="{0D2B2804-9719-4CF5-836A-6C18EF806972}" showPageBreaks="1" printArea="1" view="pageBreakPreview">
      <selection activeCell="G4" sqref="G4"/>
      <pageMargins left="0.7" right="0.7" top="0.75" bottom="0.75" header="0.3" footer="0.3"/>
      <pageSetup scale="49" orientation="portrait" r:id="rId1"/>
    </customSheetView>
    <customSheetView guid="{F51EB4BE-1505-43EE-8F62-937E5A5046CB}" showPageBreaks="1" printArea="1" view="pageBreakPreview" topLeftCell="C1">
      <selection activeCell="G3" sqref="G3:G7"/>
      <pageMargins left="0.7" right="0.7" top="0.75" bottom="0.75" header="0.3" footer="0.3"/>
      <pageSetup scale="49" orientation="portrait" r:id="rId2"/>
    </customSheetView>
  </customSheetViews>
  <mergeCells count="3">
    <mergeCell ref="B1:D1"/>
    <mergeCell ref="I3:J3"/>
    <mergeCell ref="E1:H1"/>
  </mergeCells>
  <pageMargins left="0.17" right="0.3" top="0.31" bottom="0.27" header="0.22" footer="0.16"/>
  <pageSetup scale="73"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700-000000000000}">
          <x14:formula1>
            <xm:f>Misc!$E$3:$E$4</xm:f>
          </x14:formula1>
          <xm:sqref>C3:E3 C4:E6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9">
    <tabColor rgb="FF00B0F0"/>
    <pageSetUpPr fitToPage="1"/>
  </sheetPr>
  <dimension ref="A1:J4"/>
  <sheetViews>
    <sheetView view="pageLayout" topLeftCell="A2" zoomScaleNormal="100" zoomScaleSheetLayoutView="100" workbookViewId="0">
      <selection activeCell="E32" sqref="E32:F32"/>
    </sheetView>
  </sheetViews>
  <sheetFormatPr defaultColWidth="11.453125" defaultRowHeight="14.5"/>
  <cols>
    <col min="1" max="1" width="6.7265625" customWidth="1"/>
    <col min="2" max="2" width="46.26953125" customWidth="1"/>
    <col min="3" max="3" width="9.1796875" customWidth="1"/>
    <col min="4" max="5" width="6.54296875" customWidth="1"/>
    <col min="6" max="6" width="33.1796875" customWidth="1"/>
    <col min="7" max="7" width="15.81640625" customWidth="1"/>
  </cols>
  <sheetData>
    <row r="1" spans="1:10" ht="45.75" customHeight="1">
      <c r="A1" s="8"/>
      <c r="B1" s="320"/>
      <c r="C1" s="320"/>
      <c r="D1" s="320"/>
      <c r="E1" s="323" t="s">
        <v>335</v>
      </c>
      <c r="F1" s="323"/>
      <c r="G1" s="323"/>
      <c r="H1" s="323"/>
      <c r="I1" s="1"/>
      <c r="J1" s="1"/>
    </row>
    <row r="2" spans="1:10" ht="29">
      <c r="A2" s="120"/>
      <c r="B2" s="121" t="s">
        <v>61</v>
      </c>
      <c r="C2" s="121" t="s">
        <v>58</v>
      </c>
      <c r="D2" s="121" t="s">
        <v>0</v>
      </c>
      <c r="E2" s="121" t="s">
        <v>1</v>
      </c>
      <c r="F2" s="121" t="s">
        <v>57</v>
      </c>
      <c r="G2" s="121" t="s">
        <v>59</v>
      </c>
      <c r="H2" s="121" t="s">
        <v>60</v>
      </c>
      <c r="I2" s="1"/>
      <c r="J2" s="1"/>
    </row>
    <row r="3" spans="1:10" ht="58">
      <c r="A3" s="78">
        <v>1</v>
      </c>
      <c r="B3" s="3" t="s">
        <v>583</v>
      </c>
      <c r="C3" s="10" t="s">
        <v>22</v>
      </c>
      <c r="D3" s="10"/>
      <c r="E3" s="10"/>
      <c r="F3" s="9" t="s">
        <v>743</v>
      </c>
      <c r="G3" s="3" t="str">
        <f>+'Portada '!$A$17</f>
        <v>Process Engineer / PE</v>
      </c>
      <c r="H3" s="217">
        <v>45597</v>
      </c>
      <c r="I3" s="321"/>
      <c r="J3" s="322"/>
    </row>
    <row r="4" spans="1:10" ht="58">
      <c r="A4" s="78">
        <v>2</v>
      </c>
      <c r="B4" s="3" t="s">
        <v>584</v>
      </c>
      <c r="C4" s="10" t="s">
        <v>22</v>
      </c>
      <c r="D4" s="10"/>
      <c r="E4" s="10"/>
      <c r="F4" s="9" t="s">
        <v>743</v>
      </c>
      <c r="G4" s="3" t="str">
        <f>+'Portada '!$A$17</f>
        <v>Process Engineer / PE</v>
      </c>
      <c r="H4" s="217">
        <v>45597</v>
      </c>
      <c r="I4" s="321"/>
      <c r="J4" s="322"/>
    </row>
  </sheetData>
  <customSheetViews>
    <customSheetView guid="{0D2B2804-9719-4CF5-836A-6C18EF806972}" showPageBreaks="1" view="pageBreakPreview">
      <pageMargins left="0.7" right="0.7" top="0.75" bottom="0.75" header="0.3" footer="0.3"/>
      <pageSetup scale="57" orientation="portrait" r:id="rId1"/>
    </customSheetView>
    <customSheetView guid="{F51EB4BE-1505-43EE-8F62-937E5A5046CB}" showPageBreaks="1" view="pageBreakPreview">
      <selection activeCell="G3" sqref="G3:G5"/>
      <pageMargins left="0.7" right="0.7" top="0.75" bottom="0.75" header="0.3" footer="0.3"/>
      <pageSetup scale="57" orientation="portrait" r:id="rId2"/>
    </customSheetView>
  </customSheetViews>
  <mergeCells count="4">
    <mergeCell ref="B1:D1"/>
    <mergeCell ref="I3:J3"/>
    <mergeCell ref="I4:J4"/>
    <mergeCell ref="E1:H1"/>
  </mergeCells>
  <pageMargins left="0.17" right="0.3" top="0.31" bottom="0.27" header="0.22" footer="0.16"/>
  <pageSetup scale="84"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800-000000000000}">
          <x14:formula1>
            <xm:f>Misc!$E$3:$E$4</xm:f>
          </x14:formula1>
          <xm:sqref>C3:E4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2">
    <tabColor rgb="FF00B0F0"/>
    <pageSetUpPr fitToPage="1"/>
  </sheetPr>
  <dimension ref="A1:J10"/>
  <sheetViews>
    <sheetView view="pageLayout" topLeftCell="A8" zoomScaleNormal="100" zoomScaleSheetLayoutView="100" workbookViewId="0">
      <selection activeCell="E32" sqref="E32:F32"/>
    </sheetView>
  </sheetViews>
  <sheetFormatPr defaultColWidth="11.453125" defaultRowHeight="14.5"/>
  <cols>
    <col min="1" max="1" width="5.7265625" customWidth="1"/>
    <col min="2" max="2" width="42.26953125" customWidth="1"/>
    <col min="3" max="3" width="8.7265625" customWidth="1"/>
    <col min="4" max="5" width="5.81640625" customWidth="1"/>
    <col min="6" max="6" width="32.7265625" customWidth="1"/>
    <col min="7" max="7" width="17.26953125" customWidth="1"/>
    <col min="8" max="8" width="13.7265625" bestFit="1" customWidth="1"/>
    <col min="9" max="9" width="15.26953125" customWidth="1"/>
  </cols>
  <sheetData>
    <row r="1" spans="1:10" ht="45.75" customHeight="1">
      <c r="A1" s="8"/>
      <c r="B1" s="320"/>
      <c r="C1" s="320"/>
      <c r="D1" s="320"/>
      <c r="E1" s="323" t="s">
        <v>335</v>
      </c>
      <c r="F1" s="323"/>
      <c r="G1" s="323"/>
      <c r="H1" s="323"/>
      <c r="I1" s="1"/>
      <c r="J1" s="1"/>
    </row>
    <row r="2" spans="1:10" ht="64.5" customHeight="1">
      <c r="A2" s="120"/>
      <c r="B2" s="121" t="s">
        <v>61</v>
      </c>
      <c r="C2" s="121" t="s">
        <v>58</v>
      </c>
      <c r="D2" s="121" t="s">
        <v>0</v>
      </c>
      <c r="E2" s="121" t="s">
        <v>1</v>
      </c>
      <c r="F2" s="121" t="s">
        <v>57</v>
      </c>
      <c r="G2" s="121" t="s">
        <v>59</v>
      </c>
      <c r="H2" s="121" t="s">
        <v>60</v>
      </c>
      <c r="I2" s="122" t="s">
        <v>63</v>
      </c>
      <c r="J2" s="5" t="s">
        <v>3</v>
      </c>
    </row>
    <row r="3" spans="1:10" ht="58">
      <c r="A3" s="78">
        <v>1</v>
      </c>
      <c r="B3" s="47" t="s">
        <v>482</v>
      </c>
      <c r="C3" s="9" t="s">
        <v>22</v>
      </c>
      <c r="D3" s="13"/>
      <c r="E3" s="13"/>
      <c r="F3" s="11"/>
      <c r="G3" s="11" t="str">
        <f>+'Portada '!$A$16</f>
        <v>Ingeniero de Calidad / QE</v>
      </c>
      <c r="H3" s="21"/>
      <c r="I3" s="321"/>
      <c r="J3" s="322"/>
    </row>
    <row r="4" spans="1:10" ht="72.5">
      <c r="A4" s="78">
        <v>2</v>
      </c>
      <c r="B4" s="160" t="s">
        <v>389</v>
      </c>
      <c r="C4" s="9" t="s">
        <v>22</v>
      </c>
      <c r="D4" s="9"/>
      <c r="E4" s="13"/>
      <c r="F4" s="11"/>
      <c r="G4" s="11" t="str">
        <f>+'Portada '!$A$16</f>
        <v>Ingeniero de Calidad / QE</v>
      </c>
      <c r="H4" s="21"/>
      <c r="I4" s="19"/>
      <c r="J4" s="19"/>
    </row>
    <row r="5" spans="1:10" ht="58">
      <c r="A5" s="78">
        <v>3</v>
      </c>
      <c r="B5" s="47" t="s">
        <v>477</v>
      </c>
      <c r="C5" s="9" t="s">
        <v>22</v>
      </c>
      <c r="D5" s="9"/>
      <c r="E5" s="13"/>
      <c r="F5" s="11"/>
      <c r="G5" s="11" t="str">
        <f>+'Portada '!$A$16</f>
        <v>Ingeniero de Calidad / QE</v>
      </c>
      <c r="H5" s="21"/>
      <c r="I5" s="19"/>
      <c r="J5" s="19"/>
    </row>
    <row r="6" spans="1:10" ht="43.5">
      <c r="A6" s="78">
        <v>4</v>
      </c>
      <c r="B6" s="47" t="s">
        <v>543</v>
      </c>
      <c r="C6" s="9" t="s">
        <v>22</v>
      </c>
      <c r="D6" s="9"/>
      <c r="E6" s="13"/>
      <c r="F6" s="11"/>
      <c r="G6" s="11" t="str">
        <f>+'Portada '!$A$16</f>
        <v>Ingeniero de Calidad / QE</v>
      </c>
      <c r="H6" s="21"/>
      <c r="I6" s="1"/>
      <c r="J6" s="1"/>
    </row>
    <row r="7" spans="1:10" ht="43.5">
      <c r="A7" s="78">
        <v>5</v>
      </c>
      <c r="B7" s="47" t="s">
        <v>585</v>
      </c>
      <c r="C7" s="9" t="s">
        <v>22</v>
      </c>
      <c r="D7" s="9"/>
      <c r="E7" s="13"/>
      <c r="F7" s="11"/>
      <c r="G7" s="11" t="str">
        <f>+'Portada '!$A$16</f>
        <v>Ingeniero de Calidad / QE</v>
      </c>
      <c r="H7" s="21"/>
      <c r="I7" s="1"/>
      <c r="J7" s="1"/>
    </row>
    <row r="8" spans="1:10" ht="43.5">
      <c r="A8" s="78">
        <v>6</v>
      </c>
      <c r="B8" s="47" t="s">
        <v>479</v>
      </c>
      <c r="C8" s="9" t="s">
        <v>22</v>
      </c>
      <c r="D8" s="9"/>
      <c r="E8" s="13"/>
      <c r="F8" s="11"/>
      <c r="G8" s="11" t="str">
        <f>+'Portada '!$A$16</f>
        <v>Ingeniero de Calidad / QE</v>
      </c>
      <c r="H8" s="21"/>
      <c r="I8" s="1"/>
      <c r="J8" s="1"/>
    </row>
    <row r="9" spans="1:10" ht="72.5">
      <c r="A9" s="78">
        <v>7</v>
      </c>
      <c r="B9" s="47" t="s">
        <v>481</v>
      </c>
      <c r="C9" s="9" t="s">
        <v>22</v>
      </c>
      <c r="D9" s="9"/>
      <c r="E9" s="13"/>
      <c r="F9" s="11"/>
      <c r="G9" s="11" t="str">
        <f>+'Portada '!$A$16</f>
        <v>Ingeniero de Calidad / QE</v>
      </c>
      <c r="H9" s="21"/>
      <c r="I9" s="1"/>
      <c r="J9" s="1"/>
    </row>
    <row r="10" spans="1:10" ht="43.5">
      <c r="A10" s="78">
        <v>8</v>
      </c>
      <c r="B10" s="47" t="s">
        <v>586</v>
      </c>
      <c r="C10" s="9" t="s">
        <v>22</v>
      </c>
      <c r="D10" s="9"/>
      <c r="E10" s="13"/>
      <c r="F10" s="11"/>
      <c r="G10" s="11" t="str">
        <f>+'Portada '!$A$16</f>
        <v>Ingeniero de Calidad / QE</v>
      </c>
      <c r="H10" s="21"/>
      <c r="I10" s="1"/>
      <c r="J10" s="1"/>
    </row>
  </sheetData>
  <customSheetViews>
    <customSheetView guid="{0D2B2804-9719-4CF5-836A-6C18EF806972}" showPageBreaks="1" printArea="1" view="pageBreakPreview">
      <selection activeCell="C3" sqref="C3"/>
      <colBreaks count="1" manualBreakCount="1">
        <brk id="10" max="13" man="1"/>
      </colBreaks>
      <pageMargins left="0.7" right="0.7" top="0.75" bottom="0.75" header="0.3" footer="0.3"/>
      <pageSetup scale="56" orientation="portrait" r:id="rId1"/>
    </customSheetView>
  </customSheetViews>
  <mergeCells count="3">
    <mergeCell ref="B1:D1"/>
    <mergeCell ref="E1:H1"/>
    <mergeCell ref="I3:J3"/>
  </mergeCells>
  <conditionalFormatting sqref="C11:C24">
    <cfRule type="cellIs" dxfId="1" priority="1" operator="equal">
      <formula>"NG"</formula>
    </cfRule>
    <cfRule type="cellIs" dxfId="0" priority="2" operator="equal">
      <formula>"OK"</formula>
    </cfRule>
  </conditionalFormatting>
  <pageMargins left="0.17" right="0.3" top="0.31" bottom="0.27" header="0.22" footer="0.16"/>
  <pageSetup scale="73" fitToHeight="0" orientation="landscape" r:id="rId2"/>
  <headerFooter alignWithMargins="0">
    <oddHeader xml:space="preserve">&amp;L
&amp;C
</oddHeader>
    <oddFooter>&amp;RF7100 Rev. 20/10/2020</oddFooter>
  </headerFooter>
  <colBreaks count="1" manualBreakCount="1">
    <brk id="10" max="13" man="1"/>
  </col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900-000000000000}">
          <x14:formula1>
            <xm:f>Misc!$E$3:$E$4</xm:f>
          </x14:formula1>
          <xm:sqref>C3:E10</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pageSetUpPr fitToPage="1"/>
  </sheetPr>
  <dimension ref="A1:J13"/>
  <sheetViews>
    <sheetView view="pageLayout" zoomScaleNormal="100" zoomScaleSheetLayoutView="100" workbookViewId="0">
      <selection activeCell="E32" sqref="E32:F32"/>
    </sheetView>
  </sheetViews>
  <sheetFormatPr defaultColWidth="9.1796875" defaultRowHeight="14.5"/>
  <cols>
    <col min="2" max="2" width="57.54296875" bestFit="1" customWidth="1"/>
    <col min="6" max="6" width="28.7265625" bestFit="1" customWidth="1"/>
    <col min="7" max="7" width="16.7265625" customWidth="1"/>
    <col min="8" max="8" width="12" bestFit="1" customWidth="1"/>
  </cols>
  <sheetData>
    <row r="1" spans="1:10" ht="45.75" customHeight="1">
      <c r="A1" s="8"/>
      <c r="B1" s="320"/>
      <c r="C1" s="320"/>
      <c r="D1" s="320"/>
      <c r="E1" s="323" t="s">
        <v>335</v>
      </c>
      <c r="F1" s="323"/>
      <c r="G1" s="323"/>
      <c r="H1" s="323"/>
      <c r="I1" s="1"/>
      <c r="J1" s="1"/>
    </row>
    <row r="2" spans="1:10" ht="29">
      <c r="A2" s="120"/>
      <c r="B2" s="121" t="s">
        <v>61</v>
      </c>
      <c r="C2" s="121" t="s">
        <v>58</v>
      </c>
      <c r="D2" s="121" t="s">
        <v>0</v>
      </c>
      <c r="E2" s="121" t="s">
        <v>1</v>
      </c>
      <c r="F2" s="121" t="s">
        <v>57</v>
      </c>
      <c r="G2" s="121" t="s">
        <v>59</v>
      </c>
      <c r="H2" s="121" t="s">
        <v>60</v>
      </c>
      <c r="I2" s="1"/>
      <c r="J2" s="1"/>
    </row>
    <row r="3" spans="1:10" ht="43.5">
      <c r="A3" s="78">
        <v>1</v>
      </c>
      <c r="B3" s="47" t="s">
        <v>437</v>
      </c>
      <c r="C3" s="9" t="s">
        <v>22</v>
      </c>
      <c r="D3" s="9"/>
      <c r="E3" s="13"/>
      <c r="F3" s="11"/>
      <c r="G3" s="11" t="str">
        <f>+'Portada '!$A$17</f>
        <v>Process Engineer / PE</v>
      </c>
      <c r="H3" s="21"/>
      <c r="I3" s="321"/>
      <c r="J3" s="322"/>
    </row>
    <row r="4" spans="1:10" ht="58">
      <c r="A4" s="78">
        <v>2</v>
      </c>
      <c r="B4" s="47" t="s">
        <v>464</v>
      </c>
      <c r="C4" s="9" t="s">
        <v>22</v>
      </c>
      <c r="D4" s="9"/>
      <c r="E4" s="13"/>
      <c r="F4" s="11"/>
      <c r="G4" s="11" t="str">
        <f>+'Portada '!$A$17</f>
        <v>Process Engineer / PE</v>
      </c>
      <c r="H4" s="21"/>
      <c r="I4" s="1"/>
      <c r="J4" s="1"/>
    </row>
    <row r="5" spans="1:10" ht="29">
      <c r="A5" s="78">
        <v>3</v>
      </c>
      <c r="B5" s="47" t="s">
        <v>633</v>
      </c>
      <c r="C5" s="9" t="s">
        <v>22</v>
      </c>
      <c r="D5" s="9"/>
      <c r="E5" s="13"/>
      <c r="F5" s="13"/>
      <c r="G5" s="11" t="str">
        <f>+'Portada '!$A$17</f>
        <v>Process Engineer / PE</v>
      </c>
      <c r="H5" s="21"/>
      <c r="I5" s="1"/>
      <c r="J5" s="1"/>
    </row>
    <row r="6" spans="1:10" ht="29">
      <c r="A6" s="78">
        <v>4</v>
      </c>
      <c r="B6" s="47" t="s">
        <v>438</v>
      </c>
      <c r="C6" s="9" t="s">
        <v>22</v>
      </c>
      <c r="D6" s="9"/>
      <c r="E6" s="13"/>
      <c r="F6" s="11"/>
      <c r="G6" s="11" t="str">
        <f>+'Portada '!$A$17</f>
        <v>Process Engineer / PE</v>
      </c>
      <c r="H6" s="21"/>
      <c r="I6" s="1"/>
      <c r="J6" s="1"/>
    </row>
    <row r="7" spans="1:10" ht="29">
      <c r="A7" s="78">
        <v>5</v>
      </c>
      <c r="B7" s="47" t="s">
        <v>634</v>
      </c>
      <c r="C7" s="9" t="s">
        <v>22</v>
      </c>
      <c r="D7" s="9"/>
      <c r="E7" s="13"/>
      <c r="F7" s="13"/>
      <c r="G7" s="11" t="str">
        <f>+'Portada '!$A$17</f>
        <v>Process Engineer / PE</v>
      </c>
      <c r="H7" s="21"/>
      <c r="I7" s="1"/>
      <c r="J7" s="1"/>
    </row>
    <row r="8" spans="1:10" ht="43.5">
      <c r="A8" s="78">
        <v>6</v>
      </c>
      <c r="B8" s="47" t="s">
        <v>465</v>
      </c>
      <c r="C8" s="9" t="s">
        <v>22</v>
      </c>
      <c r="D8" s="9"/>
      <c r="E8" s="13"/>
      <c r="F8" s="13"/>
      <c r="G8" s="11" t="str">
        <f>+'Portada '!$A$17</f>
        <v>Process Engineer / PE</v>
      </c>
      <c r="H8" s="21"/>
      <c r="I8" s="1"/>
      <c r="J8" s="1"/>
    </row>
    <row r="9" spans="1:10" ht="29">
      <c r="A9" s="78">
        <v>7</v>
      </c>
      <c r="B9" s="47" t="s">
        <v>439</v>
      </c>
      <c r="C9" s="9" t="s">
        <v>22</v>
      </c>
      <c r="D9" s="9"/>
      <c r="E9" s="13"/>
      <c r="F9" s="13"/>
      <c r="G9" s="11" t="str">
        <f>+'Portada '!$A$17</f>
        <v>Process Engineer / PE</v>
      </c>
      <c r="H9" s="21"/>
      <c r="I9" s="1"/>
      <c r="J9" s="1"/>
    </row>
    <row r="10" spans="1:10" ht="30.75" customHeight="1">
      <c r="A10" s="78">
        <v>8</v>
      </c>
      <c r="B10" s="47" t="s">
        <v>440</v>
      </c>
      <c r="C10" s="9" t="s">
        <v>22</v>
      </c>
      <c r="D10" s="9"/>
      <c r="E10" s="13"/>
      <c r="F10" s="11"/>
      <c r="G10" s="11" t="str">
        <f>+'Portada '!$A$17</f>
        <v>Process Engineer / PE</v>
      </c>
      <c r="H10" s="21"/>
      <c r="I10" s="1"/>
      <c r="J10" s="1"/>
    </row>
    <row r="11" spans="1:10" ht="29">
      <c r="A11" s="78">
        <v>9</v>
      </c>
      <c r="B11" s="47" t="s">
        <v>532</v>
      </c>
      <c r="C11" s="9"/>
      <c r="D11" s="10"/>
      <c r="E11" s="10" t="s">
        <v>22</v>
      </c>
      <c r="F11" s="11" t="s">
        <v>744</v>
      </c>
      <c r="G11" s="11" t="str">
        <f>+'Portada '!$A$17</f>
        <v>Process Engineer / PE</v>
      </c>
      <c r="H11" s="21"/>
      <c r="I11" s="1"/>
      <c r="J11" s="1"/>
    </row>
    <row r="12" spans="1:10" ht="58">
      <c r="A12" s="78">
        <v>10</v>
      </c>
      <c r="B12" s="47" t="s">
        <v>513</v>
      </c>
      <c r="C12" s="9"/>
      <c r="D12" s="10"/>
      <c r="E12" s="10" t="s">
        <v>22</v>
      </c>
      <c r="F12" s="11" t="s">
        <v>744</v>
      </c>
      <c r="G12" s="11" t="s">
        <v>635</v>
      </c>
      <c r="H12" s="21"/>
      <c r="I12" s="1"/>
      <c r="J12" s="1"/>
    </row>
    <row r="13" spans="1:10" ht="29">
      <c r="A13" s="78">
        <v>11</v>
      </c>
      <c r="B13" s="47" t="s">
        <v>648</v>
      </c>
      <c r="C13" s="9" t="s">
        <v>22</v>
      </c>
      <c r="D13" s="9"/>
      <c r="E13" s="9"/>
      <c r="F13" s="11"/>
      <c r="G13" s="11" t="str">
        <f>+'Portada '!$A$17</f>
        <v>Process Engineer / PE</v>
      </c>
      <c r="H13" s="21"/>
      <c r="I13" s="1"/>
      <c r="J13" s="1"/>
    </row>
  </sheetData>
  <mergeCells count="3">
    <mergeCell ref="B1:D1"/>
    <mergeCell ref="E1:H1"/>
    <mergeCell ref="I3:J3"/>
  </mergeCells>
  <pageMargins left="0.17" right="0.3" top="0.31" bottom="0.27" header="0.22" footer="0.16"/>
  <pageSetup paperSize="9" scale="84" fitToHeight="0" orientation="landscape" r:id="rId1"/>
  <headerFooter alignWithMargins="0">
    <oddHeader xml:space="preserve">&amp;L
&amp;C
</oddHeader>
    <oddFooter>&amp;RF7100 Rev. 20/10/2020</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A00-000000000000}">
          <x14:formula1>
            <xm:f>Misc!$E$3:$E$4</xm:f>
          </x14:formula1>
          <xm:sqref>C3:E13</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1">
    <tabColor rgb="FFFFFF99"/>
    <pageSetUpPr fitToPage="1"/>
  </sheetPr>
  <dimension ref="B1:F36"/>
  <sheetViews>
    <sheetView showGridLines="0" tabSelected="1" view="pageLayout" topLeftCell="C4" zoomScale="115" zoomScaleNormal="80" zoomScaleSheetLayoutView="80" zoomScalePageLayoutView="115" workbookViewId="0">
      <selection activeCell="E10" sqref="E10:F10"/>
    </sheetView>
  </sheetViews>
  <sheetFormatPr defaultColWidth="9.1796875" defaultRowHeight="14.5"/>
  <cols>
    <col min="1" max="1" width="2.81640625" style="16" customWidth="1"/>
    <col min="2" max="3" width="15.81640625" style="16" customWidth="1"/>
    <col min="4" max="4" width="41.453125" style="16" customWidth="1"/>
    <col min="5" max="5" width="18.453125" style="16" bestFit="1" customWidth="1"/>
    <col min="6" max="6" width="49.81640625" style="16" customWidth="1"/>
    <col min="7" max="7" width="2.81640625" style="16" customWidth="1"/>
    <col min="8" max="16384" width="9.1796875" style="16"/>
  </cols>
  <sheetData>
    <row r="1" spans="2:6">
      <c r="C1" s="118"/>
      <c r="D1" s="118"/>
    </row>
    <row r="2" spans="2:6" ht="15" customHeight="1">
      <c r="B2" s="72"/>
      <c r="D2" s="354" t="s">
        <v>384</v>
      </c>
      <c r="E2" s="355"/>
      <c r="F2" s="356"/>
    </row>
    <row r="3" spans="2:6" ht="15" customHeight="1">
      <c r="B3" s="186"/>
      <c r="C3" s="114"/>
      <c r="D3" s="354"/>
      <c r="E3" s="354"/>
      <c r="F3" s="357"/>
    </row>
    <row r="4" spans="2:6" ht="15" customHeight="1">
      <c r="B4" s="186"/>
      <c r="C4" s="114"/>
      <c r="D4" s="354"/>
      <c r="E4" s="354"/>
      <c r="F4" s="357"/>
    </row>
    <row r="5" spans="2:6" ht="6" customHeight="1">
      <c r="B5" s="115"/>
      <c r="C5" s="116"/>
      <c r="D5" s="116"/>
      <c r="E5" s="116"/>
      <c r="F5" s="117"/>
    </row>
    <row r="6" spans="2:6">
      <c r="B6" s="358" t="s">
        <v>307</v>
      </c>
      <c r="C6" s="359"/>
      <c r="D6" s="57" t="str">
        <f>IF('Portada '!B7="", " ",+'Portada '!B7)</f>
        <v>Stellantis</v>
      </c>
      <c r="E6" s="19" t="s">
        <v>308</v>
      </c>
      <c r="F6" s="99"/>
    </row>
    <row r="7" spans="2:6" ht="29">
      <c r="B7" s="360" t="s">
        <v>334</v>
      </c>
      <c r="C7" s="361"/>
      <c r="D7" s="58" t="str">
        <f>IF('Portada '!B5="", "",+'Portada '!B5)</f>
        <v>Dahlia Valve Stellantis</v>
      </c>
      <c r="E7" s="19" t="s">
        <v>467</v>
      </c>
      <c r="F7" s="73" t="str">
        <f>+'Portada '!B6</f>
        <v>1722-EJB0033</v>
      </c>
    </row>
    <row r="8" spans="2:6" ht="9.75" customHeight="1">
      <c r="B8" s="186"/>
      <c r="C8" s="15"/>
      <c r="D8" s="15"/>
      <c r="E8" s="15"/>
      <c r="F8" s="69"/>
    </row>
    <row r="9" spans="2:6" ht="9.75" customHeight="1">
      <c r="B9" s="186"/>
      <c r="C9" s="15"/>
      <c r="D9" s="15"/>
      <c r="E9" s="15"/>
      <c r="F9" s="69"/>
    </row>
    <row r="10" spans="2:6">
      <c r="B10" s="120" t="s">
        <v>309</v>
      </c>
      <c r="C10" s="120" t="s">
        <v>0</v>
      </c>
      <c r="D10" s="120" t="s">
        <v>310</v>
      </c>
      <c r="E10" s="362" t="s">
        <v>311</v>
      </c>
      <c r="F10" s="362"/>
    </row>
    <row r="11" spans="2:6" ht="58">
      <c r="B11" s="185" t="s">
        <v>22</v>
      </c>
      <c r="C11" s="188"/>
      <c r="D11" s="59" t="s">
        <v>468</v>
      </c>
      <c r="E11" s="363"/>
      <c r="F11" s="363"/>
    </row>
    <row r="12" spans="2:6" ht="72.5">
      <c r="B12" s="187" t="s">
        <v>22</v>
      </c>
      <c r="C12" s="185"/>
      <c r="D12" s="59" t="s">
        <v>545</v>
      </c>
      <c r="E12" s="363"/>
      <c r="F12" s="363"/>
    </row>
    <row r="13" spans="2:6" ht="58">
      <c r="B13" s="187" t="s">
        <v>22</v>
      </c>
      <c r="C13" s="185"/>
      <c r="D13" s="59" t="s">
        <v>546</v>
      </c>
      <c r="E13" s="363"/>
      <c r="F13" s="363"/>
    </row>
    <row r="14" spans="2:6">
      <c r="B14" s="186"/>
      <c r="C14" s="15"/>
      <c r="D14" s="15"/>
      <c r="E14" s="15"/>
      <c r="F14" s="69"/>
    </row>
    <row r="15" spans="2:6">
      <c r="B15" s="364" t="s">
        <v>60</v>
      </c>
      <c r="C15" s="365"/>
      <c r="D15" s="183" t="s">
        <v>319</v>
      </c>
      <c r="E15" s="362" t="s">
        <v>312</v>
      </c>
      <c r="F15" s="362"/>
    </row>
    <row r="16" spans="2:6" ht="37.5" customHeight="1">
      <c r="B16" s="187"/>
      <c r="C16" s="59" t="s">
        <v>313</v>
      </c>
      <c r="D16" s="18" t="s">
        <v>314</v>
      </c>
      <c r="E16" s="352"/>
      <c r="F16" s="353"/>
    </row>
    <row r="17" spans="2:6" ht="29">
      <c r="B17" s="187"/>
      <c r="C17" s="59" t="s">
        <v>320</v>
      </c>
      <c r="D17" s="60" t="s">
        <v>378</v>
      </c>
      <c r="E17" s="352"/>
      <c r="F17" s="353"/>
    </row>
    <row r="18" spans="2:6" ht="37.5" customHeight="1">
      <c r="B18" s="187"/>
      <c r="C18" s="59" t="s">
        <v>315</v>
      </c>
      <c r="D18" s="59" t="s">
        <v>316</v>
      </c>
      <c r="E18" s="352"/>
      <c r="F18" s="353"/>
    </row>
    <row r="19" spans="2:6" ht="18" customHeight="1">
      <c r="B19" s="163"/>
      <c r="C19" s="19"/>
      <c r="D19" s="19"/>
      <c r="E19" s="164"/>
      <c r="F19" s="165"/>
    </row>
    <row r="20" spans="2:6" ht="15.5">
      <c r="B20" s="349" t="s">
        <v>548</v>
      </c>
      <c r="C20" s="350"/>
      <c r="D20" s="350"/>
      <c r="E20" s="350"/>
      <c r="F20" s="351"/>
    </row>
    <row r="21" spans="2:6" ht="15.5">
      <c r="B21" s="349" t="s">
        <v>317</v>
      </c>
      <c r="C21" s="350"/>
      <c r="D21" s="184" t="s">
        <v>318</v>
      </c>
      <c r="E21" s="184" t="s">
        <v>283</v>
      </c>
      <c r="F21" s="70" t="s">
        <v>284</v>
      </c>
    </row>
    <row r="22" spans="2:6" ht="26.25" customHeight="1">
      <c r="B22" s="348"/>
      <c r="C22" s="348"/>
      <c r="D22" s="184" t="s">
        <v>287</v>
      </c>
      <c r="E22" s="135" t="s">
        <v>694</v>
      </c>
      <c r="F22" s="82" t="s">
        <v>695</v>
      </c>
    </row>
    <row r="23" spans="2:6" ht="26.25" customHeight="1">
      <c r="B23" s="348"/>
      <c r="C23" s="348"/>
      <c r="D23" s="184" t="s">
        <v>290</v>
      </c>
      <c r="E23" s="135" t="s">
        <v>691</v>
      </c>
      <c r="F23" s="82" t="s">
        <v>697</v>
      </c>
    </row>
    <row r="24" spans="2:6" ht="26.25" customHeight="1">
      <c r="B24" s="346"/>
      <c r="C24" s="347"/>
      <c r="D24" s="184" t="s">
        <v>289</v>
      </c>
      <c r="E24" s="135" t="s">
        <v>692</v>
      </c>
      <c r="F24" s="82" t="s">
        <v>698</v>
      </c>
    </row>
    <row r="25" spans="2:6" ht="26.25" customHeight="1">
      <c r="B25" s="346"/>
      <c r="C25" s="347"/>
      <c r="D25" s="184" t="s">
        <v>469</v>
      </c>
      <c r="E25" s="135" t="s">
        <v>694</v>
      </c>
      <c r="F25" s="82" t="s">
        <v>695</v>
      </c>
    </row>
    <row r="26" spans="2:6">
      <c r="B26" s="186"/>
      <c r="C26" s="15"/>
      <c r="D26" s="15"/>
      <c r="E26" s="15"/>
      <c r="F26" s="69"/>
    </row>
    <row r="27" spans="2:6" ht="15.5">
      <c r="B27" s="349" t="s">
        <v>296</v>
      </c>
      <c r="C27" s="350"/>
      <c r="D27" s="350"/>
      <c r="E27" s="350"/>
      <c r="F27" s="351"/>
    </row>
    <row r="28" spans="2:6" ht="15.5">
      <c r="B28" s="349" t="s">
        <v>317</v>
      </c>
      <c r="C28" s="350"/>
      <c r="D28" s="184" t="s">
        <v>318</v>
      </c>
      <c r="E28" s="184" t="s">
        <v>283</v>
      </c>
      <c r="F28" s="70" t="s">
        <v>284</v>
      </c>
    </row>
    <row r="29" spans="2:6" ht="26.25" customHeight="1">
      <c r="B29" s="348"/>
      <c r="C29" s="348"/>
      <c r="D29" s="184" t="s">
        <v>298</v>
      </c>
      <c r="E29" s="135" t="s">
        <v>628</v>
      </c>
      <c r="F29" s="71" t="s">
        <v>696</v>
      </c>
    </row>
    <row r="30" spans="2:6" ht="26.25" customHeight="1">
      <c r="B30" s="348"/>
      <c r="C30" s="348"/>
      <c r="D30" s="184" t="s">
        <v>299</v>
      </c>
      <c r="E30" s="74" t="s">
        <v>769</v>
      </c>
      <c r="F30" s="71" t="s">
        <v>770</v>
      </c>
    </row>
    <row r="31" spans="2:6" ht="26.25" customHeight="1">
      <c r="B31" s="348"/>
      <c r="C31" s="348"/>
      <c r="D31" s="184" t="s">
        <v>300</v>
      </c>
      <c r="E31" s="74" t="s">
        <v>327</v>
      </c>
      <c r="F31" s="71" t="s">
        <v>328</v>
      </c>
    </row>
    <row r="32" spans="2:6" ht="26.25" customHeight="1">
      <c r="B32" s="348"/>
      <c r="C32" s="348"/>
      <c r="D32" s="184" t="s">
        <v>301</v>
      </c>
      <c r="E32" s="74" t="s">
        <v>662</v>
      </c>
      <c r="F32" s="218" t="s">
        <v>663</v>
      </c>
    </row>
    <row r="33" spans="2:6" ht="26.25" customHeight="1">
      <c r="B33" s="346"/>
      <c r="C33" s="347"/>
      <c r="D33" s="184" t="s">
        <v>379</v>
      </c>
      <c r="E33" s="74" t="s">
        <v>380</v>
      </c>
      <c r="F33" s="71" t="s">
        <v>381</v>
      </c>
    </row>
    <row r="34" spans="2:6" ht="26.25" customHeight="1">
      <c r="B34" s="348"/>
      <c r="C34" s="348"/>
      <c r="D34" s="184" t="s">
        <v>302</v>
      </c>
      <c r="E34" s="74" t="s">
        <v>683</v>
      </c>
      <c r="F34" s="71" t="s">
        <v>684</v>
      </c>
    </row>
    <row r="35" spans="2:6" ht="15" thickBot="1">
      <c r="B35" s="61"/>
      <c r="C35" s="62"/>
      <c r="D35" s="62"/>
      <c r="E35" s="62"/>
      <c r="F35" s="63"/>
    </row>
    <row r="36" spans="2:6">
      <c r="F36" s="191" t="e">
        <f>+#REF!</f>
        <v>#REF!</v>
      </c>
    </row>
  </sheetData>
  <customSheetViews>
    <customSheetView guid="{0D2B2804-9719-4CF5-836A-6C18EF806972}" scale="80" showPageBreaks="1" showGridLines="0" fitToPage="1" printArea="1" view="pageBreakPreview">
      <pageMargins left="1.0236220472440944" right="0.82677165354330717" top="0.74803149606299213" bottom="0.74803149606299213" header="0.31496062992125984" footer="0.31496062992125984"/>
      <pageSetup scale="57" orientation="portrait" r:id="rId1"/>
      <headerFooter>
        <oddFooter>&amp;RF7311F Rev. 10/05/2018</oddFooter>
      </headerFooter>
    </customSheetView>
  </customSheetViews>
  <mergeCells count="26">
    <mergeCell ref="E18:F18"/>
    <mergeCell ref="D2:F4"/>
    <mergeCell ref="B6:C6"/>
    <mergeCell ref="B7:C7"/>
    <mergeCell ref="E10:F10"/>
    <mergeCell ref="E11:F11"/>
    <mergeCell ref="E12:F12"/>
    <mergeCell ref="E13:F13"/>
    <mergeCell ref="B15:C15"/>
    <mergeCell ref="E15:F15"/>
    <mergeCell ref="E16:F16"/>
    <mergeCell ref="E17:F17"/>
    <mergeCell ref="B20:F20"/>
    <mergeCell ref="B21:C21"/>
    <mergeCell ref="B22:C22"/>
    <mergeCell ref="B23:C23"/>
    <mergeCell ref="B24:C24"/>
    <mergeCell ref="B34:C34"/>
    <mergeCell ref="B25:C25"/>
    <mergeCell ref="B28:C28"/>
    <mergeCell ref="B29:C29"/>
    <mergeCell ref="B30:C30"/>
    <mergeCell ref="B31:C31"/>
    <mergeCell ref="B32:C32"/>
    <mergeCell ref="B33:C33"/>
    <mergeCell ref="B27:F27"/>
  </mergeCells>
  <dataValidations disablePrompts="1" count="1">
    <dataValidation type="list" allowBlank="1" showInputMessage="1" showErrorMessage="1" sqref="B16:B19 B11:C13" xr:uid="{00000000-0002-0000-1B00-000000000000}">
      <formula1>"X"</formula1>
    </dataValidation>
  </dataValidations>
  <hyperlinks>
    <hyperlink ref="F23" r:id="rId2" xr:uid="{8826332C-4479-4E1D-BD0C-6ABFD7055196}"/>
    <hyperlink ref="F24" r:id="rId3" xr:uid="{603797E8-BE30-45F8-865F-5D9CD9DCE819}"/>
    <hyperlink ref="F22" r:id="rId4" xr:uid="{78B92A84-69A9-47BB-BDD1-8EDF0DB1F91F}"/>
    <hyperlink ref="F25" r:id="rId5" xr:uid="{27EF8D88-8440-4966-9351-62B0686B5B13}"/>
    <hyperlink ref="F30" r:id="rId6" xr:uid="{AD4DEC07-1999-4592-94D6-2EA5D62E9589}"/>
  </hyperlinks>
  <pageMargins left="0.17" right="0.3" top="0.31" bottom="0.27" header="0.22" footer="0.16"/>
  <pageSetup scale="70" fitToHeight="0" orientation="portrait" r:id="rId7"/>
  <headerFooter alignWithMargins="0">
    <oddHeader xml:space="preserve">&amp;L
&amp;C
</oddHeader>
    <oddFooter>&amp;RF7100 Rev. 20/10/2020</oddFooter>
  </headerFooter>
  <drawing r:id="rId8"/>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2">
    <tabColor rgb="FF00B0F0"/>
    <pageSetUpPr fitToPage="1"/>
  </sheetPr>
  <dimension ref="A1:J6"/>
  <sheetViews>
    <sheetView view="pageLayout" topLeftCell="A4" zoomScaleNormal="100" zoomScaleSheetLayoutView="100" workbookViewId="0">
      <selection activeCell="E11" sqref="E11:F11"/>
    </sheetView>
  </sheetViews>
  <sheetFormatPr defaultColWidth="9.1796875" defaultRowHeight="14.5"/>
  <cols>
    <col min="2" max="2" width="57.54296875" bestFit="1" customWidth="1"/>
    <col min="6" max="6" width="28.7265625" bestFit="1" customWidth="1"/>
    <col min="7" max="7" width="14.7265625" bestFit="1" customWidth="1"/>
    <col min="9" max="9" width="12.26953125" customWidth="1"/>
    <col min="10" max="10" width="12.453125" customWidth="1"/>
  </cols>
  <sheetData>
    <row r="1" spans="1:10" ht="45.75" customHeight="1">
      <c r="A1" s="8"/>
      <c r="B1" s="320"/>
      <c r="C1" s="320"/>
      <c r="D1" s="320"/>
      <c r="E1" s="323" t="s">
        <v>335</v>
      </c>
      <c r="F1" s="323"/>
      <c r="G1" s="323"/>
      <c r="H1" s="323"/>
      <c r="I1" s="1"/>
      <c r="J1" s="1"/>
    </row>
    <row r="2" spans="1:10" ht="75" customHeight="1">
      <c r="A2" s="120"/>
      <c r="B2" s="121" t="s">
        <v>61</v>
      </c>
      <c r="C2" s="121" t="s">
        <v>58</v>
      </c>
      <c r="D2" s="121" t="s">
        <v>0</v>
      </c>
      <c r="E2" s="121" t="s">
        <v>1</v>
      </c>
      <c r="F2" s="121" t="s">
        <v>57</v>
      </c>
      <c r="G2" s="121" t="s">
        <v>59</v>
      </c>
      <c r="H2" s="121" t="s">
        <v>60</v>
      </c>
      <c r="I2" s="122" t="s">
        <v>63</v>
      </c>
      <c r="J2" s="4" t="s">
        <v>2</v>
      </c>
    </row>
    <row r="3" spans="1:10" ht="43.5">
      <c r="A3" s="78">
        <v>1</v>
      </c>
      <c r="B3" s="47" t="s">
        <v>591</v>
      </c>
      <c r="C3" s="10" t="s">
        <v>22</v>
      </c>
      <c r="D3" s="10"/>
      <c r="E3" s="10"/>
      <c r="F3" s="9"/>
      <c r="G3" s="3" t="str">
        <f>+'Portada '!$A$16</f>
        <v>Ingeniero de Calidad / QE</v>
      </c>
      <c r="H3" s="9"/>
      <c r="I3" s="327"/>
      <c r="J3" s="328"/>
    </row>
    <row r="4" spans="1:10" ht="58">
      <c r="A4" s="78">
        <v>2</v>
      </c>
      <c r="B4" s="60" t="s">
        <v>592</v>
      </c>
      <c r="C4" s="10" t="s">
        <v>22</v>
      </c>
      <c r="D4" s="10"/>
      <c r="E4" s="10"/>
      <c r="F4" s="9"/>
      <c r="G4" s="3" t="str">
        <f>+'Portada '!$A$16</f>
        <v>Ingeniero de Calidad / QE</v>
      </c>
      <c r="H4" s="9"/>
      <c r="I4" s="321"/>
      <c r="J4" s="322"/>
    </row>
    <row r="5" spans="1:10" ht="43.5">
      <c r="A5" s="78">
        <v>3</v>
      </c>
      <c r="B5" s="47" t="s">
        <v>593</v>
      </c>
      <c r="C5" s="10" t="s">
        <v>22</v>
      </c>
      <c r="D5" s="10"/>
      <c r="E5" s="10"/>
      <c r="F5" s="9"/>
      <c r="G5" s="3" t="str">
        <f>+'Portada '!$A$16</f>
        <v>Ingeniero de Calidad / QE</v>
      </c>
      <c r="H5" s="9"/>
      <c r="I5" s="1"/>
      <c r="J5" s="1"/>
    </row>
    <row r="6" spans="1:10" ht="29">
      <c r="A6" s="78">
        <v>4</v>
      </c>
      <c r="B6" s="47" t="s">
        <v>594</v>
      </c>
      <c r="C6" s="10" t="s">
        <v>22</v>
      </c>
      <c r="D6" s="10"/>
      <c r="E6" s="10"/>
      <c r="F6" s="9"/>
      <c r="G6" s="3" t="str">
        <f>+'Portada '!$A$16</f>
        <v>Ingeniero de Calidad / QE</v>
      </c>
      <c r="H6" s="9"/>
      <c r="I6" s="1"/>
      <c r="J6" s="1"/>
    </row>
  </sheetData>
  <customSheetViews>
    <customSheetView guid="{0D2B2804-9719-4CF5-836A-6C18EF806972}" showPageBreaks="1" fitToPage="1" printArea="1" view="pageBreakPreview">
      <selection activeCell="C3" sqref="C3"/>
      <pageMargins left="0.7" right="0.7" top="0.75" bottom="0.75" header="0.3" footer="0.3"/>
      <pageSetup paperSize="9" scale="76" orientation="landscape" r:id="rId1"/>
    </customSheetView>
    <customSheetView guid="{F51EB4BE-1505-43EE-8F62-937E5A5046CB}" showPageBreaks="1" fitToPage="1" printArea="1" view="pageBreakPreview">
      <selection activeCell="G3" sqref="G3:G9"/>
      <pageMargins left="0.7" right="0.7" top="0.75" bottom="0.75" header="0.3" footer="0.3"/>
      <pageSetup paperSize="9" scale="78" orientation="landscape" r:id="rId2"/>
    </customSheetView>
  </customSheetViews>
  <mergeCells count="4">
    <mergeCell ref="B1:D1"/>
    <mergeCell ref="I3:J3"/>
    <mergeCell ref="I4:J4"/>
    <mergeCell ref="E1:H1"/>
  </mergeCells>
  <pageMargins left="0.17" right="0.3" top="0.31" bottom="0.27" header="0.22" footer="0.16"/>
  <pageSetup paperSize="9" scale="75"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0000000}">
          <x14:formula1>
            <xm:f>Misc!$E$3:$E$4</xm:f>
          </x14:formula1>
          <xm:sqref>C3:E6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3">
    <tabColor rgb="FF00B0F0"/>
    <pageSetUpPr fitToPage="1"/>
  </sheetPr>
  <dimension ref="A1:J4"/>
  <sheetViews>
    <sheetView view="pageLayout" topLeftCell="A3" zoomScaleNormal="100" zoomScaleSheetLayoutView="100" workbookViewId="0">
      <selection activeCell="E11" sqref="E11:F11"/>
    </sheetView>
  </sheetViews>
  <sheetFormatPr defaultColWidth="9.1796875" defaultRowHeight="14.5"/>
  <cols>
    <col min="2" max="2" width="57.54296875" bestFit="1" customWidth="1"/>
    <col min="6" max="6" width="31.453125" customWidth="1"/>
    <col min="7" max="7" width="14.7265625" bestFit="1" customWidth="1"/>
  </cols>
  <sheetData>
    <row r="1" spans="1:10" ht="45.75" customHeight="1">
      <c r="A1" s="8"/>
      <c r="B1" s="320"/>
      <c r="C1" s="320"/>
      <c r="D1" s="320"/>
      <c r="E1" s="323" t="s">
        <v>335</v>
      </c>
      <c r="F1" s="323"/>
      <c r="G1" s="323"/>
      <c r="H1" s="323"/>
      <c r="I1" s="1"/>
      <c r="J1" s="1"/>
    </row>
    <row r="2" spans="1:10" ht="36" customHeight="1">
      <c r="A2" s="120"/>
      <c r="B2" s="121" t="s">
        <v>61</v>
      </c>
      <c r="C2" s="121" t="s">
        <v>58</v>
      </c>
      <c r="D2" s="121" t="s">
        <v>0</v>
      </c>
      <c r="E2" s="121" t="s">
        <v>1</v>
      </c>
      <c r="F2" s="121" t="s">
        <v>57</v>
      </c>
      <c r="G2" s="121" t="s">
        <v>59</v>
      </c>
      <c r="H2" s="121" t="s">
        <v>60</v>
      </c>
      <c r="I2" s="1"/>
      <c r="J2" s="1"/>
    </row>
    <row r="3" spans="1:10" ht="58">
      <c r="A3" s="78">
        <v>1</v>
      </c>
      <c r="B3" s="60" t="s">
        <v>587</v>
      </c>
      <c r="C3" s="10" t="s">
        <v>22</v>
      </c>
      <c r="D3" s="10"/>
      <c r="E3" s="10"/>
      <c r="F3" s="9"/>
      <c r="G3" s="3" t="str">
        <f>+'Portada '!$A$16</f>
        <v>Ingeniero de Calidad / QE</v>
      </c>
      <c r="H3" s="9"/>
      <c r="I3" s="321"/>
      <c r="J3" s="322"/>
    </row>
    <row r="4" spans="1:10" ht="43.5">
      <c r="A4" s="78">
        <v>2</v>
      </c>
      <c r="B4" s="47" t="s">
        <v>588</v>
      </c>
      <c r="C4" s="10" t="s">
        <v>22</v>
      </c>
      <c r="D4" s="10"/>
      <c r="E4" s="10"/>
      <c r="F4" s="9"/>
      <c r="G4" s="3" t="str">
        <f>+'Portada '!$A$16</f>
        <v>Ingeniero de Calidad / QE</v>
      </c>
      <c r="H4" s="9"/>
      <c r="I4" s="321"/>
      <c r="J4" s="322"/>
    </row>
  </sheetData>
  <customSheetViews>
    <customSheetView guid="{0D2B2804-9719-4CF5-836A-6C18EF806972}" showPageBreaks="1" fitToPage="1" view="pageBreakPreview">
      <selection activeCell="C3" sqref="C3"/>
      <pageMargins left="0.7" right="0.7" top="0.75" bottom="0.75" header="0.3" footer="0.3"/>
      <pageSetup paperSize="9" scale="78" orientation="landscape" r:id="rId1"/>
    </customSheetView>
    <customSheetView guid="{F51EB4BE-1505-43EE-8F62-937E5A5046CB}" showPageBreaks="1" fitToPage="1" view="pageBreakPreview">
      <selection activeCell="G3" sqref="G3:G4"/>
      <pageMargins left="0.7" right="0.7" top="0.75" bottom="0.75" header="0.3" footer="0.3"/>
      <pageSetup paperSize="9" scale="80" orientation="landscape" r:id="rId2"/>
    </customSheetView>
  </customSheetViews>
  <mergeCells count="4">
    <mergeCell ref="B1:D1"/>
    <mergeCell ref="I3:J3"/>
    <mergeCell ref="I4:J4"/>
    <mergeCell ref="E1:H1"/>
  </mergeCells>
  <pageMargins left="0.17" right="0.3" top="0.31" bottom="0.27" header="0.22" footer="0.16"/>
  <pageSetup paperSize="9" scale="85"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D00-000000000000}">
          <x14:formula1>
            <xm:f>Misc!$E$3:$E$4</xm:f>
          </x14:formula1>
          <xm:sqref>C3:E4</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4">
    <tabColor rgb="FF00B0F0"/>
    <pageSetUpPr fitToPage="1"/>
  </sheetPr>
  <dimension ref="A1:J4"/>
  <sheetViews>
    <sheetView view="pageLayout" topLeftCell="A2" zoomScaleNormal="100" zoomScaleSheetLayoutView="100" workbookViewId="0">
      <selection activeCell="E11" sqref="E11:F11"/>
    </sheetView>
  </sheetViews>
  <sheetFormatPr defaultColWidth="9.1796875" defaultRowHeight="14.5"/>
  <cols>
    <col min="2" max="2" width="57.54296875" bestFit="1" customWidth="1"/>
    <col min="6" max="6" width="32.54296875" customWidth="1"/>
    <col min="7" max="7" width="14.7265625" bestFit="1" customWidth="1"/>
  </cols>
  <sheetData>
    <row r="1" spans="1:10" ht="45.75" customHeight="1">
      <c r="A1" s="8"/>
      <c r="B1" s="320"/>
      <c r="C1" s="320"/>
      <c r="D1" s="320"/>
      <c r="E1" s="323" t="s">
        <v>335</v>
      </c>
      <c r="F1" s="323"/>
      <c r="G1" s="323"/>
      <c r="H1" s="323"/>
      <c r="I1" s="1"/>
      <c r="J1" s="1"/>
    </row>
    <row r="2" spans="1:10" ht="29">
      <c r="A2" s="120"/>
      <c r="B2" s="121" t="s">
        <v>61</v>
      </c>
      <c r="C2" s="121" t="s">
        <v>58</v>
      </c>
      <c r="D2" s="121" t="s">
        <v>0</v>
      </c>
      <c r="E2" s="121" t="s">
        <v>1</v>
      </c>
      <c r="F2" s="121" t="s">
        <v>57</v>
      </c>
      <c r="G2" s="121" t="s">
        <v>59</v>
      </c>
      <c r="H2" s="121" t="s">
        <v>60</v>
      </c>
      <c r="I2" s="1"/>
      <c r="J2" s="1"/>
    </row>
    <row r="3" spans="1:10" ht="72.5">
      <c r="A3" s="78">
        <v>1</v>
      </c>
      <c r="B3" s="47" t="s">
        <v>589</v>
      </c>
      <c r="C3" s="10" t="s">
        <v>22</v>
      </c>
      <c r="D3" s="10"/>
      <c r="E3" s="10"/>
      <c r="F3" s="9"/>
      <c r="G3" s="3" t="s">
        <v>595</v>
      </c>
      <c r="H3" s="9"/>
      <c r="I3" s="321"/>
      <c r="J3" s="322"/>
    </row>
    <row r="4" spans="1:10" ht="72.5">
      <c r="A4" s="78">
        <v>2</v>
      </c>
      <c r="B4" s="47" t="s">
        <v>590</v>
      </c>
      <c r="C4" s="10"/>
      <c r="D4" s="10"/>
      <c r="E4" s="10"/>
      <c r="F4" s="9"/>
      <c r="G4" s="3" t="s">
        <v>595</v>
      </c>
      <c r="H4" s="9"/>
      <c r="I4" s="321"/>
      <c r="J4" s="345"/>
    </row>
  </sheetData>
  <customSheetViews>
    <customSheetView guid="{0D2B2804-9719-4CF5-836A-6C18EF806972}" showPageBreaks="1" view="pageBreakPreview">
      <pageMargins left="0.7" right="0.7" top="0.75" bottom="0.75" header="0.3" footer="0.3"/>
      <pageSetup scale="53" orientation="portrait" r:id="rId1"/>
    </customSheetView>
    <customSheetView guid="{F51EB4BE-1505-43EE-8F62-937E5A5046CB}" showPageBreaks="1" view="pageBreakPreview">
      <selection activeCell="G3" sqref="G3:G4"/>
      <pageMargins left="0.7" right="0.7" top="0.75" bottom="0.75" header="0.3" footer="0.3"/>
      <pageSetup scale="53" orientation="portrait" r:id="rId2"/>
    </customSheetView>
  </customSheetViews>
  <mergeCells count="4">
    <mergeCell ref="B1:D1"/>
    <mergeCell ref="I3:J3"/>
    <mergeCell ref="I4:J4"/>
    <mergeCell ref="E1:H1"/>
  </mergeCells>
  <pageMargins left="0.17" right="0.3" top="0.31" bottom="0.27" header="0.22" footer="0.16"/>
  <pageSetup scale="79"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E00-000000000000}">
          <x14:formula1>
            <xm:f>Misc!$E$3:$E$4</xm:f>
          </x14:formula1>
          <xm:sqref>C3:E4</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5">
    <tabColor rgb="FF00B0F0"/>
    <pageSetUpPr fitToPage="1"/>
  </sheetPr>
  <dimension ref="A1:J7"/>
  <sheetViews>
    <sheetView view="pageLayout" topLeftCell="A2" zoomScaleNormal="100" zoomScaleSheetLayoutView="100" workbookViewId="0">
      <selection activeCell="E11" sqref="E11:F11"/>
    </sheetView>
  </sheetViews>
  <sheetFormatPr defaultColWidth="9.1796875" defaultRowHeight="14.5"/>
  <cols>
    <col min="2" max="2" width="57.54296875" bestFit="1" customWidth="1"/>
    <col min="6" max="6" width="31.81640625" customWidth="1"/>
    <col min="7" max="7" width="14.7265625" bestFit="1" customWidth="1"/>
  </cols>
  <sheetData>
    <row r="1" spans="1:10" ht="45.75" customHeight="1">
      <c r="A1" s="8"/>
      <c r="B1" s="320"/>
      <c r="C1" s="320"/>
      <c r="D1" s="320"/>
      <c r="E1" s="323" t="s">
        <v>335</v>
      </c>
      <c r="F1" s="323"/>
      <c r="G1" s="323"/>
      <c r="H1" s="323"/>
      <c r="I1" s="1"/>
      <c r="J1" s="1"/>
    </row>
    <row r="2" spans="1:10" ht="29">
      <c r="A2" s="120"/>
      <c r="B2" s="121" t="s">
        <v>61</v>
      </c>
      <c r="C2" s="121" t="s">
        <v>58</v>
      </c>
      <c r="D2" s="121" t="s">
        <v>0</v>
      </c>
      <c r="E2" s="121" t="s">
        <v>1</v>
      </c>
      <c r="F2" s="121" t="s">
        <v>57</v>
      </c>
      <c r="G2" s="121" t="s">
        <v>59</v>
      </c>
      <c r="H2" s="121" t="s">
        <v>60</v>
      </c>
      <c r="I2" s="1"/>
      <c r="J2" s="1"/>
    </row>
    <row r="3" spans="1:10" ht="43.5">
      <c r="A3" s="78">
        <v>1</v>
      </c>
      <c r="B3" s="47" t="s">
        <v>596</v>
      </c>
      <c r="C3" s="10"/>
      <c r="D3" s="10" t="s">
        <v>22</v>
      </c>
      <c r="E3" s="10"/>
      <c r="F3" s="9"/>
      <c r="G3" s="3" t="str">
        <f>+'Portada '!$A$16</f>
        <v>Ingeniero de Calidad / QE</v>
      </c>
      <c r="H3" s="9"/>
      <c r="I3" s="321"/>
      <c r="J3" s="322"/>
    </row>
    <row r="4" spans="1:10" ht="43.5">
      <c r="A4" s="78">
        <v>2</v>
      </c>
      <c r="B4" s="47" t="s">
        <v>597</v>
      </c>
      <c r="C4" s="10"/>
      <c r="D4" s="10"/>
      <c r="E4" s="10" t="s">
        <v>22</v>
      </c>
      <c r="F4" s="9"/>
      <c r="G4" s="3" t="str">
        <f>+'Portada '!$A$16</f>
        <v>Ingeniero de Calidad / QE</v>
      </c>
      <c r="H4" s="9"/>
      <c r="I4" s="321"/>
      <c r="J4" s="322"/>
    </row>
    <row r="5" spans="1:10" ht="43.5">
      <c r="A5" s="78">
        <v>3</v>
      </c>
      <c r="B5" s="47" t="s">
        <v>598</v>
      </c>
      <c r="C5" s="10" t="s">
        <v>22</v>
      </c>
      <c r="D5" s="10"/>
      <c r="E5" s="10"/>
      <c r="F5" s="9" t="s">
        <v>745</v>
      </c>
      <c r="G5" s="3" t="str">
        <f>+'Portada '!$A$16</f>
        <v>Ingeniero de Calidad / QE</v>
      </c>
      <c r="H5" s="217">
        <v>45570</v>
      </c>
      <c r="I5" s="321"/>
      <c r="J5" s="322"/>
    </row>
    <row r="6" spans="1:10" ht="43.5">
      <c r="A6" s="78">
        <v>4</v>
      </c>
      <c r="B6" s="47" t="s">
        <v>599</v>
      </c>
      <c r="C6" s="10"/>
      <c r="D6" s="10"/>
      <c r="E6" s="10" t="s">
        <v>22</v>
      </c>
      <c r="F6" s="9"/>
      <c r="G6" s="3" t="str">
        <f>+'Portada '!$A$16</f>
        <v>Ingeniero de Calidad / QE</v>
      </c>
      <c r="H6" s="9"/>
      <c r="I6" s="321"/>
      <c r="J6" s="322"/>
    </row>
    <row r="7" spans="1:10" ht="58">
      <c r="A7" s="78">
        <v>5</v>
      </c>
      <c r="B7" s="47" t="s">
        <v>608</v>
      </c>
      <c r="C7" s="10" t="s">
        <v>22</v>
      </c>
      <c r="D7" s="10"/>
      <c r="E7" s="10"/>
      <c r="F7" s="9"/>
      <c r="G7" s="3" t="s">
        <v>609</v>
      </c>
      <c r="H7" s="9"/>
      <c r="I7" s="321"/>
      <c r="J7" s="322"/>
    </row>
  </sheetData>
  <customSheetViews>
    <customSheetView guid="{0D2B2804-9719-4CF5-836A-6C18EF806972}" showPageBreaks="1" printArea="1" view="pageBreakPreview">
      <selection activeCell="F5" sqref="F5"/>
      <pageMargins left="0.7" right="0.7" top="0.75" bottom="0.75" header="0.3" footer="0.3"/>
      <pageSetup scale="53" orientation="portrait" r:id="rId1"/>
    </customSheetView>
    <customSheetView guid="{F51EB4BE-1505-43EE-8F62-937E5A5046CB}" showPageBreaks="1" view="pageBreakPreview">
      <selection activeCell="G3" sqref="G3:G4"/>
      <pageMargins left="0.7" right="0.7" top="0.75" bottom="0.75" header="0.3" footer="0.3"/>
      <pageSetup scale="53" orientation="portrait" r:id="rId2"/>
    </customSheetView>
  </customSheetViews>
  <mergeCells count="7">
    <mergeCell ref="I7:J7"/>
    <mergeCell ref="I6:J6"/>
    <mergeCell ref="B1:D1"/>
    <mergeCell ref="I3:J3"/>
    <mergeCell ref="I4:J4"/>
    <mergeCell ref="E1:H1"/>
    <mergeCell ref="I5:J5"/>
  </mergeCells>
  <pageMargins left="0.17" right="0.3" top="0.31" bottom="0.27" header="0.22" footer="0.16"/>
  <pageSetup scale="79"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F00-000000000000}">
          <x14:formula1>
            <xm:f>Misc!$E$3:$E$4</xm:f>
          </x14:formula1>
          <xm:sqref>C3:E7</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6">
    <tabColor rgb="FF00B0F0"/>
    <pageSetUpPr fitToPage="1"/>
  </sheetPr>
  <dimension ref="A1:J7"/>
  <sheetViews>
    <sheetView view="pageLayout" topLeftCell="A3" zoomScaleNormal="100" zoomScaleSheetLayoutView="100" workbookViewId="0">
      <selection activeCell="E11" sqref="E11:F11"/>
    </sheetView>
  </sheetViews>
  <sheetFormatPr defaultColWidth="9.1796875" defaultRowHeight="14.5"/>
  <cols>
    <col min="2" max="2" width="57.54296875" bestFit="1" customWidth="1"/>
    <col min="6" max="6" width="31.81640625" customWidth="1"/>
    <col min="7" max="7" width="14.7265625" bestFit="1" customWidth="1"/>
    <col min="9" max="9" width="11.54296875" customWidth="1"/>
  </cols>
  <sheetData>
    <row r="1" spans="1:10" ht="45.75" customHeight="1">
      <c r="A1" s="8"/>
      <c r="B1" s="320"/>
      <c r="C1" s="320"/>
      <c r="D1" s="320"/>
      <c r="E1" s="323" t="s">
        <v>335</v>
      </c>
      <c r="F1" s="323"/>
      <c r="G1" s="323"/>
      <c r="H1" s="323"/>
      <c r="I1" s="1"/>
      <c r="J1" s="1"/>
    </row>
    <row r="2" spans="1:10" ht="91">
      <c r="A2" s="120"/>
      <c r="B2" s="121" t="s">
        <v>61</v>
      </c>
      <c r="C2" s="121" t="s">
        <v>58</v>
      </c>
      <c r="D2" s="121" t="s">
        <v>0</v>
      </c>
      <c r="E2" s="121" t="s">
        <v>1</v>
      </c>
      <c r="F2" s="121" t="s">
        <v>57</v>
      </c>
      <c r="G2" s="121" t="s">
        <v>59</v>
      </c>
      <c r="H2" s="121" t="s">
        <v>60</v>
      </c>
      <c r="I2" s="122" t="s">
        <v>63</v>
      </c>
      <c r="J2" s="5" t="s">
        <v>20</v>
      </c>
    </row>
    <row r="3" spans="1:10" ht="43.5">
      <c r="A3" s="78">
        <v>1</v>
      </c>
      <c r="B3" s="190" t="s">
        <v>640</v>
      </c>
      <c r="C3" s="10"/>
      <c r="D3" s="10"/>
      <c r="E3" s="10" t="s">
        <v>22</v>
      </c>
      <c r="F3" s="9"/>
      <c r="G3" s="3" t="str">
        <f>+'Portada '!$A$14</f>
        <v xml:space="preserve">Líder del proyecto / Project leader </v>
      </c>
      <c r="H3" s="9"/>
      <c r="I3" s="327"/>
      <c r="J3" s="328"/>
    </row>
    <row r="4" spans="1:10" ht="43.5">
      <c r="A4" s="78">
        <v>2</v>
      </c>
      <c r="B4" s="190" t="s">
        <v>645</v>
      </c>
      <c r="C4" s="10" t="s">
        <v>22</v>
      </c>
      <c r="D4" s="10"/>
      <c r="E4" s="10"/>
      <c r="F4" s="9"/>
      <c r="G4" s="3" t="str">
        <f>+'Portada '!$A$14</f>
        <v xml:space="preserve">Líder del proyecto / Project leader </v>
      </c>
      <c r="H4" s="9"/>
      <c r="I4" s="204"/>
      <c r="J4" s="205"/>
    </row>
    <row r="5" spans="1:10" ht="43.5">
      <c r="A5" s="78">
        <v>3</v>
      </c>
      <c r="B5" s="190" t="s">
        <v>643</v>
      </c>
      <c r="C5" s="10" t="s">
        <v>22</v>
      </c>
      <c r="D5" s="10"/>
      <c r="E5" s="10"/>
      <c r="F5" s="9"/>
      <c r="G5" s="3" t="s">
        <v>641</v>
      </c>
      <c r="H5" s="9"/>
      <c r="I5" s="204"/>
      <c r="J5" s="205"/>
    </row>
    <row r="6" spans="1:10" ht="43.5">
      <c r="A6" s="78">
        <v>4</v>
      </c>
      <c r="B6" s="190" t="s">
        <v>644</v>
      </c>
      <c r="C6" s="10" t="s">
        <v>22</v>
      </c>
      <c r="D6" s="10"/>
      <c r="E6" s="10"/>
      <c r="F6" s="9"/>
      <c r="G6" s="3" t="s">
        <v>642</v>
      </c>
      <c r="H6" s="9"/>
      <c r="I6" s="204"/>
      <c r="J6" s="205"/>
    </row>
    <row r="7" spans="1:10" ht="43.5">
      <c r="A7" s="78">
        <v>5</v>
      </c>
      <c r="B7" s="47" t="s">
        <v>600</v>
      </c>
      <c r="C7" s="10" t="s">
        <v>22</v>
      </c>
      <c r="D7" s="10"/>
      <c r="E7" s="10"/>
      <c r="F7" s="9"/>
      <c r="G7" s="3" t="str">
        <f>+'Portada '!$A$14</f>
        <v xml:space="preserve">Líder del proyecto / Project leader </v>
      </c>
      <c r="H7" s="9"/>
      <c r="I7" s="321"/>
      <c r="J7" s="322"/>
    </row>
  </sheetData>
  <customSheetViews>
    <customSheetView guid="{0D2B2804-9719-4CF5-836A-6C18EF806972}" showPageBreaks="1" printArea="1" view="pageBreakPreview">
      <pageMargins left="0.7" right="0.7" top="0.75" bottom="0.75" header="0.3" footer="0.3"/>
      <pageSetup scale="53" orientation="portrait" r:id="rId1"/>
    </customSheetView>
    <customSheetView guid="{F51EB4BE-1505-43EE-8F62-937E5A5046CB}" showPageBreaks="1" printArea="1" view="pageBreakPreview">
      <selection activeCell="G3" sqref="G3:G7"/>
      <pageMargins left="0.7" right="0.7" top="0.75" bottom="0.75" header="0.3" footer="0.3"/>
      <pageSetup scale="53" orientation="portrait" r:id="rId2"/>
    </customSheetView>
  </customSheetViews>
  <mergeCells count="4">
    <mergeCell ref="B1:D1"/>
    <mergeCell ref="I3:J3"/>
    <mergeCell ref="I7:J7"/>
    <mergeCell ref="E1:H1"/>
  </mergeCells>
  <pageMargins left="0.17" right="0.3" top="0.31" bottom="0.27" header="0.22" footer="0.16"/>
  <pageSetup scale="78" fitToHeight="0" orientation="landscape" r:id="rId3"/>
  <headerFooter alignWithMargins="0">
    <oddHeader xml:space="preserve">&amp;L
&amp;C
</oddHeader>
    <oddFooter>&amp;RF7100 Rev. 20/10/2020</oddFooter>
  </headerFooter>
  <drawing r:id="rId4"/>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000-000000000000}">
          <x14:formula1>
            <xm:f>'\\mx01s006\shared\Users\mx1heno1\Documents\INGENIERIA\[F7100 APQP Specific Checklist 260315.xlsx]Programa APQP'!#REF!</xm:f>
          </x14:formula1>
          <xm:sqref>C8:E8</xm:sqref>
        </x14:dataValidation>
        <x14:dataValidation type="list" allowBlank="1" showInputMessage="1" showErrorMessage="1" xr:uid="{00000000-0002-0000-2000-000001000000}">
          <x14:formula1>
            <xm:f>Misc!$E$3:$E$4</xm:f>
          </x14:formula1>
          <xm:sqref>C3:E7</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40">
    <tabColor rgb="FFFFFFCC"/>
    <pageSetUpPr fitToPage="1"/>
  </sheetPr>
  <dimension ref="B1:F36"/>
  <sheetViews>
    <sheetView showGridLines="0" view="pageLayout" zoomScaleNormal="80" zoomScaleSheetLayoutView="80" workbookViewId="0">
      <selection activeCell="E11" sqref="E11:F11"/>
    </sheetView>
  </sheetViews>
  <sheetFormatPr defaultColWidth="9.1796875" defaultRowHeight="14.5"/>
  <cols>
    <col min="1" max="1" width="2.81640625" style="16" customWidth="1"/>
    <col min="2" max="3" width="15.81640625" style="16" customWidth="1"/>
    <col min="4" max="4" width="41.453125" style="16" customWidth="1"/>
    <col min="5" max="5" width="18.453125" style="16" bestFit="1" customWidth="1"/>
    <col min="6" max="6" width="49.81640625" style="16" customWidth="1"/>
    <col min="7" max="7" width="2.81640625" style="16" customWidth="1"/>
    <col min="8" max="16384" width="9.1796875" style="16"/>
  </cols>
  <sheetData>
    <row r="1" spans="2:6">
      <c r="C1" s="118"/>
      <c r="D1" s="118"/>
    </row>
    <row r="2" spans="2:6" ht="15" customHeight="1">
      <c r="B2" s="72"/>
      <c r="D2" s="354" t="s">
        <v>385</v>
      </c>
      <c r="E2" s="355"/>
      <c r="F2" s="356"/>
    </row>
    <row r="3" spans="2:6" ht="15" customHeight="1">
      <c r="B3" s="186"/>
      <c r="C3" s="114"/>
      <c r="D3" s="354"/>
      <c r="E3" s="354"/>
      <c r="F3" s="357"/>
    </row>
    <row r="4" spans="2:6" ht="15" customHeight="1">
      <c r="B4" s="186"/>
      <c r="C4" s="114"/>
      <c r="D4" s="354"/>
      <c r="E4" s="354"/>
      <c r="F4" s="357"/>
    </row>
    <row r="5" spans="2:6" ht="6" customHeight="1">
      <c r="B5" s="115"/>
      <c r="C5" s="116"/>
      <c r="D5" s="116"/>
      <c r="E5" s="116"/>
      <c r="F5" s="117"/>
    </row>
    <row r="6" spans="2:6">
      <c r="B6" s="358" t="s">
        <v>307</v>
      </c>
      <c r="C6" s="359"/>
      <c r="D6" s="57" t="str">
        <f>IF('Portada '!B7="", " ",+'Portada '!B7)</f>
        <v>Stellantis</v>
      </c>
      <c r="E6" s="19" t="s">
        <v>308</v>
      </c>
      <c r="F6" s="99"/>
    </row>
    <row r="7" spans="2:6" ht="29">
      <c r="B7" s="360" t="s">
        <v>334</v>
      </c>
      <c r="C7" s="361"/>
      <c r="D7" s="58" t="str">
        <f>IF('Portada '!B5="", "",+'Portada '!B5)</f>
        <v>Dahlia Valve Stellantis</v>
      </c>
      <c r="E7" s="19" t="s">
        <v>467</v>
      </c>
      <c r="F7" s="73">
        <f>IF('Portada '!B6="","",+'Portada '!D6)</f>
        <v>47392</v>
      </c>
    </row>
    <row r="8" spans="2:6" ht="9.75" customHeight="1">
      <c r="B8" s="186"/>
      <c r="C8" s="15"/>
      <c r="D8" s="15"/>
      <c r="E8" s="15"/>
      <c r="F8" s="69"/>
    </row>
    <row r="9" spans="2:6" ht="9.75" customHeight="1">
      <c r="B9" s="186"/>
      <c r="C9" s="15"/>
      <c r="D9" s="15"/>
      <c r="E9" s="15"/>
      <c r="F9" s="69"/>
    </row>
    <row r="10" spans="2:6">
      <c r="B10" s="120" t="s">
        <v>309</v>
      </c>
      <c r="C10" s="120" t="s">
        <v>0</v>
      </c>
      <c r="D10" s="120" t="s">
        <v>310</v>
      </c>
      <c r="E10" s="362" t="s">
        <v>311</v>
      </c>
      <c r="F10" s="362"/>
    </row>
    <row r="11" spans="2:6" ht="58">
      <c r="B11" s="185" t="s">
        <v>22</v>
      </c>
      <c r="C11" s="188"/>
      <c r="D11" s="59" t="s">
        <v>468</v>
      </c>
      <c r="E11" s="363"/>
      <c r="F11" s="363"/>
    </row>
    <row r="12" spans="2:6" ht="72.5">
      <c r="B12" s="187" t="s">
        <v>22</v>
      </c>
      <c r="C12" s="185"/>
      <c r="D12" s="59" t="s">
        <v>545</v>
      </c>
      <c r="E12" s="363"/>
      <c r="F12" s="363"/>
    </row>
    <row r="13" spans="2:6" ht="58">
      <c r="B13" s="187" t="s">
        <v>22</v>
      </c>
      <c r="C13" s="185"/>
      <c r="D13" s="59" t="s">
        <v>546</v>
      </c>
      <c r="E13" s="363"/>
      <c r="F13" s="363"/>
    </row>
    <row r="14" spans="2:6">
      <c r="B14" s="186"/>
      <c r="C14" s="15"/>
      <c r="D14" s="15"/>
      <c r="E14" s="15"/>
      <c r="F14" s="69"/>
    </row>
    <row r="15" spans="2:6">
      <c r="B15" s="364" t="s">
        <v>60</v>
      </c>
      <c r="C15" s="365"/>
      <c r="D15" s="183" t="s">
        <v>319</v>
      </c>
      <c r="E15" s="362" t="s">
        <v>312</v>
      </c>
      <c r="F15" s="362"/>
    </row>
    <row r="16" spans="2:6" ht="37.5" customHeight="1">
      <c r="B16" s="187"/>
      <c r="C16" s="59" t="s">
        <v>313</v>
      </c>
      <c r="D16" s="18" t="s">
        <v>314</v>
      </c>
      <c r="E16" s="352"/>
      <c r="F16" s="353"/>
    </row>
    <row r="17" spans="2:6" ht="29">
      <c r="B17" s="187"/>
      <c r="C17" s="59" t="s">
        <v>320</v>
      </c>
      <c r="D17" s="60" t="s">
        <v>378</v>
      </c>
      <c r="E17" s="352"/>
      <c r="F17" s="353"/>
    </row>
    <row r="18" spans="2:6" ht="37.5" customHeight="1">
      <c r="B18" s="187"/>
      <c r="C18" s="59" t="s">
        <v>315</v>
      </c>
      <c r="D18" s="59" t="s">
        <v>316</v>
      </c>
      <c r="E18" s="352"/>
      <c r="F18" s="353"/>
    </row>
    <row r="19" spans="2:6" ht="18" customHeight="1">
      <c r="B19" s="163"/>
      <c r="C19" s="19"/>
      <c r="D19" s="19"/>
      <c r="E19" s="164"/>
      <c r="F19" s="165"/>
    </row>
    <row r="20" spans="2:6" ht="15.5">
      <c r="B20" s="349" t="s">
        <v>547</v>
      </c>
      <c r="C20" s="350"/>
      <c r="D20" s="350"/>
      <c r="E20" s="350"/>
      <c r="F20" s="351"/>
    </row>
    <row r="21" spans="2:6" ht="15.5">
      <c r="B21" s="349" t="s">
        <v>317</v>
      </c>
      <c r="C21" s="350"/>
      <c r="D21" s="184" t="s">
        <v>318</v>
      </c>
      <c r="E21" s="184" t="s">
        <v>283</v>
      </c>
      <c r="F21" s="70" t="s">
        <v>284</v>
      </c>
    </row>
    <row r="22" spans="2:6" ht="26.25" customHeight="1">
      <c r="B22" s="348"/>
      <c r="C22" s="348"/>
      <c r="D22" s="184" t="s">
        <v>287</v>
      </c>
      <c r="E22" s="135" t="s">
        <v>694</v>
      </c>
      <c r="F22" s="82" t="s">
        <v>695</v>
      </c>
    </row>
    <row r="23" spans="2:6" ht="26.25" customHeight="1">
      <c r="B23" s="348"/>
      <c r="C23" s="348"/>
      <c r="D23" s="184" t="s">
        <v>290</v>
      </c>
      <c r="E23" s="135" t="s">
        <v>691</v>
      </c>
      <c r="F23" s="82" t="s">
        <v>697</v>
      </c>
    </row>
    <row r="24" spans="2:6" ht="26.25" customHeight="1">
      <c r="B24" s="346"/>
      <c r="C24" s="347"/>
      <c r="D24" s="184" t="s">
        <v>289</v>
      </c>
      <c r="E24" s="135" t="s">
        <v>692</v>
      </c>
      <c r="F24" s="82" t="s">
        <v>698</v>
      </c>
    </row>
    <row r="25" spans="2:6" ht="26.25" customHeight="1">
      <c r="B25" s="346"/>
      <c r="C25" s="347"/>
      <c r="D25" s="184" t="s">
        <v>469</v>
      </c>
      <c r="E25" s="135" t="s">
        <v>694</v>
      </c>
      <c r="F25" s="82" t="s">
        <v>695</v>
      </c>
    </row>
    <row r="26" spans="2:6">
      <c r="B26" s="186"/>
      <c r="C26" s="15"/>
      <c r="D26" s="15"/>
      <c r="E26" s="15"/>
      <c r="F26" s="69"/>
    </row>
    <row r="27" spans="2:6" ht="15.5">
      <c r="B27" s="349" t="s">
        <v>296</v>
      </c>
      <c r="C27" s="350"/>
      <c r="D27" s="350"/>
      <c r="E27" s="350"/>
      <c r="F27" s="351"/>
    </row>
    <row r="28" spans="2:6" ht="15.5">
      <c r="B28" s="349" t="s">
        <v>317</v>
      </c>
      <c r="C28" s="350"/>
      <c r="D28" s="184" t="s">
        <v>318</v>
      </c>
      <c r="E28" s="184" t="s">
        <v>283</v>
      </c>
      <c r="F28" s="70" t="s">
        <v>284</v>
      </c>
    </row>
    <row r="29" spans="2:6" ht="26.25" customHeight="1">
      <c r="B29" s="348"/>
      <c r="C29" s="348"/>
      <c r="D29" s="184" t="s">
        <v>298</v>
      </c>
      <c r="E29" s="135" t="s">
        <v>628</v>
      </c>
      <c r="F29" s="71" t="s">
        <v>696</v>
      </c>
    </row>
    <row r="30" spans="2:6" ht="26.25" customHeight="1">
      <c r="B30" s="348"/>
      <c r="C30" s="348"/>
      <c r="D30" s="184" t="s">
        <v>299</v>
      </c>
      <c r="E30" s="74" t="s">
        <v>769</v>
      </c>
      <c r="F30" s="71" t="s">
        <v>770</v>
      </c>
    </row>
    <row r="31" spans="2:6" ht="26.25" customHeight="1">
      <c r="B31" s="348"/>
      <c r="C31" s="348"/>
      <c r="D31" s="184" t="s">
        <v>300</v>
      </c>
      <c r="E31" s="74" t="s">
        <v>327</v>
      </c>
      <c r="F31" s="71" t="s">
        <v>328</v>
      </c>
    </row>
    <row r="32" spans="2:6" ht="26.25" customHeight="1">
      <c r="B32" s="348"/>
      <c r="C32" s="348"/>
      <c r="D32" s="184" t="s">
        <v>301</v>
      </c>
      <c r="E32" s="74" t="s">
        <v>662</v>
      </c>
      <c r="F32" s="218" t="s">
        <v>663</v>
      </c>
    </row>
    <row r="33" spans="2:6" ht="26.25" customHeight="1">
      <c r="B33" s="346"/>
      <c r="C33" s="347"/>
      <c r="D33" s="184" t="s">
        <v>379</v>
      </c>
      <c r="E33" s="74" t="s">
        <v>380</v>
      </c>
      <c r="F33" s="71" t="s">
        <v>381</v>
      </c>
    </row>
    <row r="34" spans="2:6" ht="26.25" customHeight="1">
      <c r="B34" s="348"/>
      <c r="C34" s="348"/>
      <c r="D34" s="184" t="s">
        <v>302</v>
      </c>
      <c r="E34" s="74" t="s">
        <v>683</v>
      </c>
      <c r="F34" s="71" t="s">
        <v>684</v>
      </c>
    </row>
    <row r="35" spans="2:6" ht="15" thickBot="1">
      <c r="B35" s="61"/>
      <c r="C35" s="62"/>
      <c r="D35" s="62"/>
      <c r="E35" s="62"/>
      <c r="F35" s="63"/>
    </row>
    <row r="36" spans="2:6">
      <c r="F36" s="191" t="e">
        <f>+#REF!</f>
        <v>#REF!</v>
      </c>
    </row>
  </sheetData>
  <customSheetViews>
    <customSheetView guid="{0D2B2804-9719-4CF5-836A-6C18EF806972}" scale="80" showPageBreaks="1" showGridLines="0" fitToPage="1" printArea="1" view="pageBreakPreview" topLeftCell="A19">
      <selection activeCell="F36" sqref="F36"/>
      <pageMargins left="1.0236220472440944" right="0.82677165354330717" top="0.74803149606299213" bottom="0.74803149606299213" header="0.31496062992125984" footer="0.31496062992125984"/>
      <pageSetup scale="57" orientation="portrait" r:id="rId1"/>
      <headerFooter>
        <oddFooter>&amp;RF7311F Rev. 10/05/2018</oddFooter>
      </headerFooter>
    </customSheetView>
  </customSheetViews>
  <mergeCells count="26">
    <mergeCell ref="E12:F12"/>
    <mergeCell ref="D2:F4"/>
    <mergeCell ref="B6:C6"/>
    <mergeCell ref="B7:C7"/>
    <mergeCell ref="E10:F10"/>
    <mergeCell ref="E11:F11"/>
    <mergeCell ref="B27:F27"/>
    <mergeCell ref="E13:F13"/>
    <mergeCell ref="B15:C15"/>
    <mergeCell ref="E15:F15"/>
    <mergeCell ref="E16:F16"/>
    <mergeCell ref="E17:F17"/>
    <mergeCell ref="E18:F18"/>
    <mergeCell ref="B20:F20"/>
    <mergeCell ref="B21:C21"/>
    <mergeCell ref="B22:C22"/>
    <mergeCell ref="B23:C23"/>
    <mergeCell ref="B24:C24"/>
    <mergeCell ref="B25:C25"/>
    <mergeCell ref="B34:C34"/>
    <mergeCell ref="B28:C28"/>
    <mergeCell ref="B29:C29"/>
    <mergeCell ref="B30:C30"/>
    <mergeCell ref="B31:C31"/>
    <mergeCell ref="B32:C32"/>
    <mergeCell ref="B33:C33"/>
  </mergeCells>
  <dataValidations disablePrompts="1" count="1">
    <dataValidation type="list" allowBlank="1" showInputMessage="1" showErrorMessage="1" sqref="B16:B19 B11:C13" xr:uid="{00000000-0002-0000-2100-000000000000}">
      <formula1>"X"</formula1>
    </dataValidation>
  </dataValidations>
  <hyperlinks>
    <hyperlink ref="F23" r:id="rId2" xr:uid="{6D22B84B-E159-4E3A-AE06-9E9951496CEC}"/>
    <hyperlink ref="F24" r:id="rId3" xr:uid="{FC766E33-9D74-44B8-9255-283A3755FCA5}"/>
    <hyperlink ref="F22" r:id="rId4" xr:uid="{5486AC06-AF20-437F-91A0-2A48D9335CA4}"/>
    <hyperlink ref="F30" r:id="rId5" xr:uid="{6727364D-C61B-46D8-A5C9-3653D8DE1805}"/>
    <hyperlink ref="F25" r:id="rId6" xr:uid="{666A716F-8057-4F01-84C2-03CD9BC683C4}"/>
  </hyperlinks>
  <pageMargins left="0.17" right="0.3" top="0.31" bottom="0.27" header="0.22" footer="0.16"/>
  <pageSetup scale="70" fitToHeight="0" orientation="portrait" r:id="rId7"/>
  <headerFooter alignWithMargins="0">
    <oddHeader xml:space="preserve">&amp;L
&amp;C
</oddHeader>
    <oddFooter>&amp;RF7100 Rev. 20/10/2020</oddFooter>
  </headerFooter>
  <ignoredErrors>
    <ignoredError sqref="D6:D7 F7" unlockedFormula="1"/>
  </ignoredErrors>
  <drawing r:id="rId8"/>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8">
    <tabColor rgb="FFFF0000"/>
  </sheetPr>
  <dimension ref="A1:AH83"/>
  <sheetViews>
    <sheetView view="pageBreakPreview" zoomScale="55" zoomScaleNormal="47" workbookViewId="0">
      <selection activeCell="N3" sqref="N3"/>
    </sheetView>
  </sheetViews>
  <sheetFormatPr defaultColWidth="9.1796875" defaultRowHeight="14.5"/>
  <cols>
    <col min="1" max="1" width="9.1796875" customWidth="1"/>
    <col min="2" max="2" width="12.453125" customWidth="1"/>
    <col min="3" max="3" width="20.54296875" customWidth="1"/>
    <col min="4" max="4" width="11.26953125" customWidth="1"/>
    <col min="5" max="24" width="9.1796875" customWidth="1"/>
    <col min="25" max="25" width="30.54296875" customWidth="1"/>
    <col min="26" max="35" width="9.1796875" customWidth="1"/>
  </cols>
  <sheetData>
    <row r="1" spans="1:34" ht="61.5">
      <c r="A1" s="368" t="s">
        <v>67</v>
      </c>
      <c r="B1" s="368"/>
      <c r="C1" s="368"/>
      <c r="D1" s="368"/>
      <c r="E1" s="368"/>
      <c r="F1" s="368"/>
      <c r="G1" s="368"/>
      <c r="H1" s="368"/>
      <c r="I1" s="368"/>
      <c r="J1" s="368"/>
      <c r="K1" s="368"/>
      <c r="L1" s="368"/>
      <c r="M1" s="368"/>
      <c r="N1" s="368"/>
      <c r="O1" s="368"/>
      <c r="P1" s="368"/>
      <c r="Q1" s="368"/>
      <c r="R1" s="368"/>
      <c r="S1" s="368"/>
      <c r="T1" s="368"/>
      <c r="U1" s="368"/>
      <c r="V1" s="368"/>
      <c r="W1" s="368"/>
      <c r="X1" s="368"/>
      <c r="Y1" s="368"/>
      <c r="Z1" s="368"/>
      <c r="AA1" s="91"/>
      <c r="AB1" s="92"/>
      <c r="AC1" s="92"/>
      <c r="AD1" s="92"/>
      <c r="AE1" s="92"/>
      <c r="AF1" s="92"/>
      <c r="AG1" s="92"/>
      <c r="AH1" s="92"/>
    </row>
    <row r="2" spans="1:34" ht="26">
      <c r="A2" s="90"/>
      <c r="B2" s="90"/>
      <c r="C2" s="90"/>
      <c r="D2" s="90"/>
      <c r="E2" s="90"/>
      <c r="F2" s="90"/>
      <c r="G2" s="90"/>
      <c r="H2" s="90"/>
      <c r="I2" s="90"/>
      <c r="J2" s="90"/>
      <c r="K2" s="90"/>
      <c r="L2" s="90"/>
      <c r="M2" s="90"/>
      <c r="N2" s="90"/>
      <c r="O2" s="90"/>
      <c r="P2" s="90"/>
      <c r="Q2" s="90"/>
      <c r="R2" s="90"/>
      <c r="S2" s="90"/>
      <c r="T2" s="90"/>
      <c r="U2" s="90"/>
      <c r="V2" s="90"/>
      <c r="W2" s="90"/>
      <c r="X2" s="90"/>
      <c r="Y2" s="90"/>
      <c r="Z2" s="90"/>
      <c r="AA2" s="90"/>
      <c r="AB2" s="90"/>
      <c r="AC2" s="90"/>
      <c r="AD2" s="90"/>
      <c r="AE2" s="90"/>
      <c r="AF2" s="90"/>
      <c r="AG2" s="90"/>
      <c r="AH2" s="90"/>
    </row>
    <row r="3" spans="1:34" ht="26">
      <c r="A3" s="30"/>
      <c r="B3" s="31" t="s">
        <v>68</v>
      </c>
      <c r="C3" s="32" t="e">
        <f>+#REF!</f>
        <v>#REF!</v>
      </c>
      <c r="D3" s="30"/>
      <c r="E3" s="30"/>
      <c r="F3" s="30"/>
      <c r="G3" s="31" t="s">
        <v>69</v>
      </c>
      <c r="H3" s="32" t="str">
        <f>IF('Portada '!B6=0,"",'Portada '!$B$6)</f>
        <v>1722-EJB0033</v>
      </c>
      <c r="I3" s="32"/>
      <c r="J3" s="32"/>
      <c r="K3" s="33" t="s">
        <v>125</v>
      </c>
      <c r="L3" s="32"/>
      <c r="M3" s="32"/>
      <c r="N3" s="33" t="s">
        <v>125</v>
      </c>
      <c r="O3" s="32" t="str">
        <f>IF('Portada '!$B$9=0,"",'Portada '!$B$9)</f>
        <v xml:space="preserve">Dahlia Valve </v>
      </c>
      <c r="P3" s="32"/>
      <c r="Q3" s="90"/>
      <c r="R3" s="90"/>
      <c r="S3" s="90"/>
      <c r="T3" s="90"/>
      <c r="U3" s="34"/>
      <c r="V3" s="34"/>
      <c r="W3" s="34"/>
      <c r="X3" s="35" t="s">
        <v>70</v>
      </c>
      <c r="Y3" s="36" t="str">
        <f>+'Portada '!B17</f>
        <v>Jesus Urena</v>
      </c>
      <c r="Z3" s="36"/>
      <c r="AA3" s="90"/>
      <c r="AB3" s="90"/>
      <c r="AC3" s="90"/>
      <c r="AD3" s="90"/>
      <c r="AE3" s="90"/>
      <c r="AF3" s="90"/>
      <c r="AG3" s="90"/>
      <c r="AH3" s="90"/>
    </row>
    <row r="4" spans="1:34" ht="26">
      <c r="A4" s="30"/>
      <c r="B4" s="31" t="s">
        <v>71</v>
      </c>
      <c r="C4" s="33"/>
      <c r="D4" s="30"/>
      <c r="E4" s="30"/>
      <c r="F4" s="30"/>
      <c r="G4" s="31" t="s">
        <v>72</v>
      </c>
      <c r="H4" s="32"/>
      <c r="I4" s="32"/>
      <c r="J4" s="32"/>
      <c r="K4" s="32"/>
      <c r="L4" s="32"/>
      <c r="M4" s="32"/>
      <c r="N4" s="32"/>
      <c r="O4" s="32"/>
      <c r="P4" s="32"/>
      <c r="Q4" s="90"/>
      <c r="R4" s="90"/>
      <c r="S4" s="90"/>
      <c r="T4" s="90"/>
      <c r="U4" s="34"/>
      <c r="V4" s="34"/>
      <c r="W4" s="34"/>
      <c r="X4" s="35" t="s">
        <v>73</v>
      </c>
      <c r="Y4" s="36" t="str">
        <f>+'Portada '!B16</f>
        <v>Gabriel Romero</v>
      </c>
      <c r="Z4" s="36"/>
      <c r="AA4" s="90"/>
      <c r="AB4" s="90"/>
      <c r="AC4" s="90"/>
      <c r="AD4" s="90"/>
      <c r="AE4" s="90"/>
      <c r="AF4" s="90"/>
      <c r="AG4" s="90"/>
      <c r="AH4" s="90"/>
    </row>
    <row r="5" spans="1:34" ht="26">
      <c r="A5" s="30"/>
      <c r="B5" s="31" t="s">
        <v>74</v>
      </c>
      <c r="C5" s="33"/>
      <c r="D5" s="30"/>
      <c r="E5" s="30"/>
      <c r="F5" s="30"/>
      <c r="G5" s="31" t="s">
        <v>75</v>
      </c>
      <c r="H5" s="32"/>
      <c r="I5" s="32"/>
      <c r="J5" s="32"/>
      <c r="K5" s="32"/>
      <c r="L5" s="32"/>
      <c r="M5" s="32"/>
      <c r="N5" s="32"/>
      <c r="O5" s="32"/>
      <c r="P5" s="32"/>
      <c r="Q5" s="90"/>
      <c r="R5" s="90"/>
      <c r="S5" s="90"/>
      <c r="T5" s="90"/>
      <c r="U5" s="34"/>
      <c r="V5" s="34"/>
      <c r="W5" s="34"/>
      <c r="X5" s="35" t="s">
        <v>76</v>
      </c>
      <c r="Y5" s="36" t="str">
        <f>IF('Portada '!B14=0,"",'Portada '!B14)</f>
        <v>Mohamed Niaz</v>
      </c>
      <c r="Z5" s="36"/>
      <c r="AA5" s="90"/>
      <c r="AB5" s="90"/>
      <c r="AC5" s="90"/>
      <c r="AD5" s="90"/>
      <c r="AE5" s="90"/>
      <c r="AF5" s="90"/>
      <c r="AG5" s="90"/>
      <c r="AH5" s="90"/>
    </row>
    <row r="6" spans="1:34" ht="26">
      <c r="A6" s="90"/>
      <c r="B6" s="90"/>
      <c r="C6" s="90"/>
      <c r="D6" s="90"/>
      <c r="E6" s="90"/>
      <c r="F6" s="90"/>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row>
    <row r="7" spans="1:34" ht="21">
      <c r="A7" s="369" t="s">
        <v>0</v>
      </c>
      <c r="B7" s="371" t="s">
        <v>77</v>
      </c>
      <c r="C7" s="369" t="s">
        <v>78</v>
      </c>
      <c r="D7" s="371" t="s">
        <v>79</v>
      </c>
      <c r="E7" s="371" t="s">
        <v>80</v>
      </c>
      <c r="F7" s="367" t="s">
        <v>81</v>
      </c>
      <c r="G7" s="367"/>
      <c r="H7" s="367"/>
      <c r="I7" s="367"/>
      <c r="J7" s="367"/>
      <c r="K7" s="367"/>
      <c r="L7" s="367"/>
      <c r="M7" s="367"/>
      <c r="N7" s="367"/>
      <c r="O7" s="367"/>
      <c r="P7" s="367"/>
      <c r="Q7" s="367"/>
      <c r="R7" s="367"/>
      <c r="S7" s="367"/>
      <c r="T7" s="367"/>
      <c r="U7" s="371" t="s">
        <v>82</v>
      </c>
      <c r="V7" s="371" t="s">
        <v>83</v>
      </c>
      <c r="W7" s="371" t="s">
        <v>84</v>
      </c>
      <c r="X7" s="371" t="s">
        <v>85</v>
      </c>
      <c r="Y7" s="369" t="s">
        <v>86</v>
      </c>
      <c r="Z7" s="371" t="s">
        <v>87</v>
      </c>
      <c r="AA7" s="93"/>
      <c r="AB7" s="93"/>
      <c r="AC7" s="93"/>
      <c r="AD7" s="93"/>
      <c r="AE7" s="93"/>
      <c r="AF7" s="93"/>
      <c r="AG7" s="93"/>
      <c r="AH7" s="93"/>
    </row>
    <row r="8" spans="1:34" ht="108">
      <c r="A8" s="370"/>
      <c r="B8" s="372"/>
      <c r="C8" s="370"/>
      <c r="D8" s="372"/>
      <c r="E8" s="372"/>
      <c r="F8" s="43" t="s">
        <v>88</v>
      </c>
      <c r="G8" s="42" t="s">
        <v>89</v>
      </c>
      <c r="H8" s="42" t="s">
        <v>90</v>
      </c>
      <c r="I8" s="42" t="s">
        <v>91</v>
      </c>
      <c r="J8" s="42" t="s">
        <v>92</v>
      </c>
      <c r="K8" s="42" t="s">
        <v>93</v>
      </c>
      <c r="L8" s="42" t="s">
        <v>94</v>
      </c>
      <c r="M8" s="42" t="s">
        <v>95</v>
      </c>
      <c r="N8" s="42" t="s">
        <v>96</v>
      </c>
      <c r="O8" s="42" t="s">
        <v>97</v>
      </c>
      <c r="P8" s="42" t="s">
        <v>98</v>
      </c>
      <c r="Q8" s="42" t="s">
        <v>99</v>
      </c>
      <c r="R8" s="42" t="s">
        <v>100</v>
      </c>
      <c r="S8" s="42" t="s">
        <v>101</v>
      </c>
      <c r="T8" s="42" t="s">
        <v>102</v>
      </c>
      <c r="U8" s="372"/>
      <c r="V8" s="372"/>
      <c r="W8" s="372"/>
      <c r="X8" s="372"/>
      <c r="Y8" s="370"/>
      <c r="Z8" s="372"/>
      <c r="AA8" s="93"/>
      <c r="AB8" s="93"/>
      <c r="AC8" s="93"/>
      <c r="AD8" s="93"/>
      <c r="AE8" s="93"/>
      <c r="AF8" s="93"/>
      <c r="AG8" s="93"/>
      <c r="AH8" s="93"/>
    </row>
    <row r="9" spans="1:34" ht="180.75" customHeight="1">
      <c r="A9" s="23">
        <v>1</v>
      </c>
      <c r="B9" s="22" t="s">
        <v>103</v>
      </c>
      <c r="C9" s="28" t="s">
        <v>104</v>
      </c>
      <c r="D9" s="22" t="s">
        <v>105</v>
      </c>
      <c r="E9" s="22" t="s">
        <v>106</v>
      </c>
      <c r="F9" s="22"/>
      <c r="G9" s="22"/>
      <c r="H9" s="22"/>
      <c r="I9" s="22"/>
      <c r="J9" s="22"/>
      <c r="K9" s="22"/>
      <c r="L9" s="22"/>
      <c r="M9" s="22" t="s">
        <v>107</v>
      </c>
      <c r="N9" s="22"/>
      <c r="O9" s="22"/>
      <c r="P9" s="22"/>
      <c r="Q9" s="22"/>
      <c r="R9" s="22"/>
      <c r="S9" s="22"/>
      <c r="T9" s="22"/>
      <c r="U9" s="22" t="s">
        <v>108</v>
      </c>
      <c r="V9" s="22" t="s">
        <v>108</v>
      </c>
      <c r="W9" s="22" t="s">
        <v>108</v>
      </c>
      <c r="X9" s="22" t="s">
        <v>109</v>
      </c>
      <c r="Y9" s="24" t="s">
        <v>110</v>
      </c>
      <c r="Z9" s="37"/>
      <c r="AA9" s="29"/>
      <c r="AB9" s="25" t="s">
        <v>111</v>
      </c>
      <c r="AC9" s="366" t="s">
        <v>112</v>
      </c>
      <c r="AD9" s="366"/>
      <c r="AE9" s="366"/>
      <c r="AF9" s="366"/>
      <c r="AG9" s="366"/>
      <c r="AH9" s="366"/>
    </row>
    <row r="10" spans="1:34" ht="123.75" customHeight="1">
      <c r="A10" s="23">
        <v>2</v>
      </c>
      <c r="B10" s="22" t="s">
        <v>113</v>
      </c>
      <c r="C10" s="28" t="s">
        <v>114</v>
      </c>
      <c r="D10" s="22"/>
      <c r="E10" s="22" t="s">
        <v>106</v>
      </c>
      <c r="F10" s="22"/>
      <c r="G10" s="22"/>
      <c r="H10" s="22"/>
      <c r="I10" s="22"/>
      <c r="J10" s="22"/>
      <c r="K10" s="22"/>
      <c r="L10" s="22" t="s">
        <v>107</v>
      </c>
      <c r="M10" s="22" t="s">
        <v>107</v>
      </c>
      <c r="N10" s="22"/>
      <c r="O10" s="22" t="s">
        <v>107</v>
      </c>
      <c r="P10" s="22"/>
      <c r="Q10" s="22"/>
      <c r="R10" s="22"/>
      <c r="S10" s="22"/>
      <c r="T10" s="22"/>
      <c r="U10" s="22" t="s">
        <v>108</v>
      </c>
      <c r="V10" s="22" t="s">
        <v>108</v>
      </c>
      <c r="W10" s="22" t="s">
        <v>108</v>
      </c>
      <c r="X10" s="22" t="s">
        <v>109</v>
      </c>
      <c r="Y10" s="24" t="s">
        <v>115</v>
      </c>
      <c r="Z10" s="37"/>
      <c r="AA10" s="94"/>
      <c r="AB10" s="93"/>
      <c r="AC10" s="93"/>
      <c r="AD10" s="93"/>
      <c r="AE10" s="93"/>
      <c r="AF10" s="93"/>
      <c r="AG10" s="93"/>
      <c r="AH10" s="93"/>
    </row>
    <row r="11" spans="1:34" ht="99.75" customHeight="1">
      <c r="A11" s="23">
        <v>3</v>
      </c>
      <c r="B11" s="22" t="s">
        <v>113</v>
      </c>
      <c r="C11" s="28" t="s">
        <v>116</v>
      </c>
      <c r="D11" s="22" t="s">
        <v>117</v>
      </c>
      <c r="E11" s="22" t="s">
        <v>118</v>
      </c>
      <c r="F11" s="22"/>
      <c r="G11" s="22"/>
      <c r="H11" s="22"/>
      <c r="I11" s="22"/>
      <c r="J11" s="22"/>
      <c r="K11" s="22"/>
      <c r="L11" s="22" t="s">
        <v>107</v>
      </c>
      <c r="M11" s="22"/>
      <c r="N11" s="22"/>
      <c r="O11" s="22" t="s">
        <v>107</v>
      </c>
      <c r="P11" s="22"/>
      <c r="Q11" s="22"/>
      <c r="R11" s="22"/>
      <c r="S11" s="22"/>
      <c r="T11" s="22"/>
      <c r="U11" s="22" t="s">
        <v>0</v>
      </c>
      <c r="V11" s="22" t="s">
        <v>108</v>
      </c>
      <c r="W11" s="22" t="s">
        <v>108</v>
      </c>
      <c r="X11" s="22" t="s">
        <v>109</v>
      </c>
      <c r="Y11" s="24" t="s">
        <v>119</v>
      </c>
      <c r="Z11" s="37"/>
      <c r="AA11" s="94"/>
      <c r="AB11" s="93"/>
      <c r="AC11" s="93"/>
      <c r="AD11" s="93"/>
      <c r="AE11" s="93"/>
      <c r="AF11" s="93"/>
      <c r="AG11" s="93"/>
      <c r="AH11" s="93"/>
    </row>
    <row r="12" spans="1:34" ht="72" customHeight="1">
      <c r="A12" s="23">
        <v>4</v>
      </c>
      <c r="B12" s="22" t="s">
        <v>113</v>
      </c>
      <c r="C12" s="28" t="s">
        <v>120</v>
      </c>
      <c r="D12" s="22" t="s">
        <v>121</v>
      </c>
      <c r="E12" s="22" t="s">
        <v>118</v>
      </c>
      <c r="F12" s="22"/>
      <c r="G12" s="22"/>
      <c r="H12" s="22"/>
      <c r="I12" s="22"/>
      <c r="J12" s="22"/>
      <c r="K12" s="22"/>
      <c r="L12" s="22" t="s">
        <v>107</v>
      </c>
      <c r="M12" s="22" t="s">
        <v>122</v>
      </c>
      <c r="N12" s="22"/>
      <c r="O12" s="22" t="s">
        <v>122</v>
      </c>
      <c r="P12" s="22"/>
      <c r="Q12" s="22"/>
      <c r="R12" s="22"/>
      <c r="S12" s="22"/>
      <c r="T12" s="22"/>
      <c r="U12" s="22" t="s">
        <v>0</v>
      </c>
      <c r="V12" s="22" t="s">
        <v>108</v>
      </c>
      <c r="W12" s="22" t="s">
        <v>108</v>
      </c>
      <c r="X12" s="22" t="s">
        <v>109</v>
      </c>
      <c r="Y12" s="24"/>
      <c r="Z12" s="37"/>
      <c r="AA12" s="94"/>
      <c r="AB12" s="93"/>
      <c r="AC12" s="93"/>
      <c r="AD12" s="93"/>
      <c r="AE12" s="93"/>
      <c r="AF12" s="93"/>
      <c r="AG12" s="93"/>
      <c r="AH12" s="93"/>
    </row>
    <row r="13" spans="1:34" ht="15.5">
      <c r="A13" s="23">
        <v>5</v>
      </c>
      <c r="B13" s="22" t="s">
        <v>103</v>
      </c>
      <c r="C13" s="41" t="s">
        <v>123</v>
      </c>
      <c r="D13" s="22" t="s">
        <v>124</v>
      </c>
      <c r="E13" s="22" t="s">
        <v>106</v>
      </c>
      <c r="F13" s="22"/>
      <c r="G13" s="22"/>
      <c r="H13" s="22"/>
      <c r="I13" s="22"/>
      <c r="J13" s="22"/>
      <c r="K13" s="22"/>
      <c r="L13" s="22"/>
      <c r="M13" s="22" t="s">
        <v>107</v>
      </c>
      <c r="N13" s="22"/>
      <c r="O13" s="22"/>
      <c r="P13" s="22"/>
      <c r="Q13" s="22"/>
      <c r="R13" s="22"/>
      <c r="S13" s="22"/>
      <c r="T13" s="22"/>
      <c r="U13" s="22" t="s">
        <v>108</v>
      </c>
      <c r="V13" s="22" t="s">
        <v>108</v>
      </c>
      <c r="W13" s="22" t="s">
        <v>125</v>
      </c>
      <c r="X13" s="22" t="s">
        <v>109</v>
      </c>
      <c r="Y13" s="24"/>
      <c r="Z13" s="37"/>
      <c r="AA13" s="94"/>
      <c r="AB13" s="93"/>
      <c r="AC13" s="93"/>
      <c r="AD13" s="93"/>
      <c r="AE13" s="93"/>
      <c r="AF13" s="93"/>
      <c r="AG13" s="93"/>
      <c r="AH13" s="93"/>
    </row>
    <row r="14" spans="1:34" ht="15.5">
      <c r="A14" s="23">
        <v>6</v>
      </c>
      <c r="B14" s="22" t="s">
        <v>103</v>
      </c>
      <c r="C14" s="40" t="s">
        <v>126</v>
      </c>
      <c r="D14" s="22" t="s">
        <v>127</v>
      </c>
      <c r="E14" s="22" t="s">
        <v>106</v>
      </c>
      <c r="F14" s="22"/>
      <c r="G14" s="22"/>
      <c r="H14" s="22"/>
      <c r="I14" s="22"/>
      <c r="J14" s="22"/>
      <c r="K14" s="22"/>
      <c r="L14" s="22"/>
      <c r="M14" s="22" t="s">
        <v>107</v>
      </c>
      <c r="N14" s="22"/>
      <c r="O14" s="22" t="s">
        <v>107</v>
      </c>
      <c r="P14" s="22"/>
      <c r="Q14" s="22"/>
      <c r="R14" s="22"/>
      <c r="S14" s="22"/>
      <c r="T14" s="22"/>
      <c r="U14" s="22" t="s">
        <v>0</v>
      </c>
      <c r="V14" s="22" t="s">
        <v>108</v>
      </c>
      <c r="W14" s="22" t="s">
        <v>125</v>
      </c>
      <c r="X14" s="22" t="s">
        <v>109</v>
      </c>
      <c r="Y14" s="38"/>
      <c r="Z14" s="37"/>
      <c r="AA14" s="94"/>
      <c r="AB14" s="93"/>
      <c r="AC14" s="93"/>
      <c r="AD14" s="93"/>
      <c r="AE14" s="93"/>
      <c r="AF14" s="93"/>
      <c r="AG14" s="93"/>
      <c r="AH14" s="93"/>
    </row>
    <row r="15" spans="1:34" ht="15.5">
      <c r="A15" s="23">
        <v>7</v>
      </c>
      <c r="B15" s="22" t="s">
        <v>113</v>
      </c>
      <c r="C15" s="28" t="s">
        <v>128</v>
      </c>
      <c r="D15" s="22" t="s">
        <v>129</v>
      </c>
      <c r="E15" s="22" t="s">
        <v>118</v>
      </c>
      <c r="F15" s="22"/>
      <c r="G15" s="22"/>
      <c r="H15" s="22"/>
      <c r="I15" s="22"/>
      <c r="J15" s="22"/>
      <c r="K15" s="22"/>
      <c r="L15" s="22"/>
      <c r="M15" s="22" t="s">
        <v>107</v>
      </c>
      <c r="N15" s="22"/>
      <c r="O15" s="22"/>
      <c r="P15" s="22"/>
      <c r="Q15" s="22"/>
      <c r="R15" s="22"/>
      <c r="S15" s="22"/>
      <c r="T15" s="22"/>
      <c r="U15" s="22" t="s">
        <v>0</v>
      </c>
      <c r="V15" s="22" t="s">
        <v>108</v>
      </c>
      <c r="W15" s="22" t="s">
        <v>108</v>
      </c>
      <c r="X15" s="22" t="s">
        <v>109</v>
      </c>
      <c r="Y15" s="38"/>
      <c r="Z15" s="37"/>
      <c r="AA15" s="94"/>
      <c r="AB15" s="93"/>
      <c r="AC15" s="93"/>
      <c r="AD15" s="93"/>
      <c r="AE15" s="93"/>
      <c r="AF15" s="93"/>
      <c r="AG15" s="93"/>
      <c r="AH15" s="93"/>
    </row>
    <row r="16" spans="1:34" ht="144" customHeight="1">
      <c r="A16" s="23">
        <v>8</v>
      </c>
      <c r="B16" s="22" t="s">
        <v>103</v>
      </c>
      <c r="C16" s="28" t="s">
        <v>130</v>
      </c>
      <c r="D16" s="22" t="s">
        <v>131</v>
      </c>
      <c r="E16" s="22" t="s">
        <v>106</v>
      </c>
      <c r="F16" s="22"/>
      <c r="G16" s="22"/>
      <c r="H16" s="22"/>
      <c r="I16" s="22"/>
      <c r="J16" s="22"/>
      <c r="K16" s="22"/>
      <c r="L16" s="22"/>
      <c r="M16" s="22" t="s">
        <v>107</v>
      </c>
      <c r="N16" s="22"/>
      <c r="O16" s="22"/>
      <c r="P16" s="22"/>
      <c r="Q16" s="22"/>
      <c r="R16" s="22"/>
      <c r="S16" s="22"/>
      <c r="T16" s="22"/>
      <c r="U16" s="22" t="s">
        <v>0</v>
      </c>
      <c r="V16" s="22" t="s">
        <v>108</v>
      </c>
      <c r="W16" s="22" t="s">
        <v>108</v>
      </c>
      <c r="X16" s="22" t="s">
        <v>109</v>
      </c>
      <c r="Y16" s="24" t="s">
        <v>132</v>
      </c>
      <c r="Z16" s="37"/>
      <c r="AA16" s="94"/>
      <c r="AB16" s="95"/>
      <c r="AC16" s="96"/>
      <c r="AD16" s="95"/>
      <c r="AE16" s="95"/>
      <c r="AF16" s="95"/>
      <c r="AG16" s="95"/>
      <c r="AH16" s="95"/>
    </row>
    <row r="17" spans="1:26" ht="111" customHeight="1">
      <c r="A17" s="23">
        <v>9</v>
      </c>
      <c r="B17" s="22" t="s">
        <v>103</v>
      </c>
      <c r="C17" s="28" t="s">
        <v>133</v>
      </c>
      <c r="D17" s="22" t="s">
        <v>134</v>
      </c>
      <c r="E17" s="22" t="s">
        <v>106</v>
      </c>
      <c r="F17" s="22"/>
      <c r="G17" s="22"/>
      <c r="H17" s="22"/>
      <c r="I17" s="22"/>
      <c r="J17" s="22"/>
      <c r="K17" s="22"/>
      <c r="L17" s="22"/>
      <c r="M17" s="22" t="s">
        <v>107</v>
      </c>
      <c r="N17" s="22"/>
      <c r="O17" s="22" t="s">
        <v>122</v>
      </c>
      <c r="P17" s="22"/>
      <c r="Q17" s="22"/>
      <c r="R17" s="22"/>
      <c r="S17" s="22"/>
      <c r="T17" s="22"/>
      <c r="U17" s="22" t="s">
        <v>108</v>
      </c>
      <c r="V17" s="22" t="s">
        <v>108</v>
      </c>
      <c r="W17" s="22" t="s">
        <v>108</v>
      </c>
      <c r="X17" s="22" t="s">
        <v>109</v>
      </c>
      <c r="Y17" s="24" t="s">
        <v>135</v>
      </c>
      <c r="Z17" s="37"/>
    </row>
    <row r="18" spans="1:26" ht="125.25" customHeight="1">
      <c r="A18" s="23">
        <v>10</v>
      </c>
      <c r="B18" s="22" t="s">
        <v>103</v>
      </c>
      <c r="C18" s="28" t="s">
        <v>136</v>
      </c>
      <c r="D18" s="22" t="s">
        <v>137</v>
      </c>
      <c r="E18" s="22" t="s">
        <v>106</v>
      </c>
      <c r="F18" s="22"/>
      <c r="G18" s="22"/>
      <c r="H18" s="22"/>
      <c r="I18" s="22"/>
      <c r="J18" s="22"/>
      <c r="K18" s="22"/>
      <c r="L18" s="22"/>
      <c r="M18" s="22" t="s">
        <v>107</v>
      </c>
      <c r="N18" s="22"/>
      <c r="O18" s="22"/>
      <c r="P18" s="22"/>
      <c r="Q18" s="22"/>
      <c r="R18" s="22"/>
      <c r="S18" s="22"/>
      <c r="T18" s="22"/>
      <c r="U18" s="22" t="s">
        <v>108</v>
      </c>
      <c r="V18" s="22" t="s">
        <v>108</v>
      </c>
      <c r="W18" s="22" t="s">
        <v>125</v>
      </c>
      <c r="X18" s="22" t="s">
        <v>109</v>
      </c>
      <c r="Y18" s="24" t="s">
        <v>138</v>
      </c>
      <c r="Z18" s="37"/>
    </row>
    <row r="19" spans="1:26" ht="31">
      <c r="A19" s="23">
        <v>11</v>
      </c>
      <c r="B19" s="22" t="s">
        <v>139</v>
      </c>
      <c r="C19" s="40" t="s">
        <v>140</v>
      </c>
      <c r="D19" s="22" t="s">
        <v>141</v>
      </c>
      <c r="E19" s="22" t="s">
        <v>106</v>
      </c>
      <c r="F19" s="22"/>
      <c r="G19" s="22"/>
      <c r="H19" s="22"/>
      <c r="I19" s="22"/>
      <c r="J19" s="22"/>
      <c r="K19" s="22"/>
      <c r="L19" s="22"/>
      <c r="M19" s="22" t="s">
        <v>107</v>
      </c>
      <c r="N19" s="22"/>
      <c r="O19" s="22" t="s">
        <v>107</v>
      </c>
      <c r="P19" s="22"/>
      <c r="Q19" s="22"/>
      <c r="R19" s="22"/>
      <c r="S19" s="22"/>
      <c r="T19" s="22"/>
      <c r="U19" s="22" t="s">
        <v>108</v>
      </c>
      <c r="V19" s="22" t="s">
        <v>108</v>
      </c>
      <c r="W19" s="22" t="s">
        <v>125</v>
      </c>
      <c r="X19" s="22" t="s">
        <v>109</v>
      </c>
      <c r="Y19" s="38"/>
      <c r="Z19" s="37"/>
    </row>
    <row r="20" spans="1:26" ht="100.5" customHeight="1">
      <c r="A20" s="23">
        <v>12</v>
      </c>
      <c r="B20" s="22" t="s">
        <v>139</v>
      </c>
      <c r="C20" s="27" t="s">
        <v>142</v>
      </c>
      <c r="D20" s="22" t="s">
        <v>143</v>
      </c>
      <c r="E20" s="22" t="s">
        <v>106</v>
      </c>
      <c r="F20" s="22"/>
      <c r="G20" s="22"/>
      <c r="H20" s="22"/>
      <c r="I20" s="22"/>
      <c r="J20" s="22"/>
      <c r="K20" s="22"/>
      <c r="L20" s="22"/>
      <c r="M20" s="22"/>
      <c r="N20" s="22"/>
      <c r="O20" s="22" t="s">
        <v>107</v>
      </c>
      <c r="P20" s="22"/>
      <c r="Q20" s="22"/>
      <c r="R20" s="22"/>
      <c r="S20" s="22"/>
      <c r="T20" s="22"/>
      <c r="U20" s="22" t="s">
        <v>0</v>
      </c>
      <c r="V20" s="22" t="s">
        <v>108</v>
      </c>
      <c r="W20" s="22" t="s">
        <v>125</v>
      </c>
      <c r="X20" s="22" t="s">
        <v>109</v>
      </c>
      <c r="Y20" s="26" t="s">
        <v>144</v>
      </c>
      <c r="Z20" s="37"/>
    </row>
    <row r="21" spans="1:26" ht="46.5">
      <c r="A21" s="23">
        <v>13</v>
      </c>
      <c r="B21" s="22" t="s">
        <v>103</v>
      </c>
      <c r="C21" s="27" t="s">
        <v>145</v>
      </c>
      <c r="D21" s="22" t="s">
        <v>146</v>
      </c>
      <c r="E21" s="22" t="s">
        <v>106</v>
      </c>
      <c r="F21" s="22"/>
      <c r="G21" s="22"/>
      <c r="H21" s="22"/>
      <c r="I21" s="22"/>
      <c r="J21" s="22"/>
      <c r="K21" s="22"/>
      <c r="L21" s="22"/>
      <c r="M21" s="22"/>
      <c r="N21" s="22"/>
      <c r="O21" s="22" t="s">
        <v>107</v>
      </c>
      <c r="P21" s="22"/>
      <c r="Q21" s="22"/>
      <c r="R21" s="22"/>
      <c r="S21" s="22"/>
      <c r="T21" s="22"/>
      <c r="U21" s="22" t="s">
        <v>108</v>
      </c>
      <c r="V21" s="22" t="s">
        <v>108</v>
      </c>
      <c r="W21" s="22" t="s">
        <v>125</v>
      </c>
      <c r="X21" s="22" t="s">
        <v>109</v>
      </c>
      <c r="Y21" s="24" t="s">
        <v>147</v>
      </c>
      <c r="Z21" s="37"/>
    </row>
    <row r="22" spans="1:26" ht="31">
      <c r="A22" s="23">
        <v>14</v>
      </c>
      <c r="B22" s="22" t="s">
        <v>139</v>
      </c>
      <c r="C22" s="28" t="s">
        <v>148</v>
      </c>
      <c r="D22" s="22" t="s">
        <v>149</v>
      </c>
      <c r="E22" s="22" t="s">
        <v>106</v>
      </c>
      <c r="F22" s="22"/>
      <c r="G22" s="22"/>
      <c r="H22" s="22"/>
      <c r="I22" s="22"/>
      <c r="J22" s="22"/>
      <c r="K22" s="22"/>
      <c r="L22" s="22"/>
      <c r="M22" s="22"/>
      <c r="N22" s="22"/>
      <c r="O22" s="22" t="s">
        <v>107</v>
      </c>
      <c r="P22" s="22"/>
      <c r="Q22" s="22"/>
      <c r="R22" s="22"/>
      <c r="S22" s="22"/>
      <c r="T22" s="22"/>
      <c r="U22" s="22" t="s">
        <v>108</v>
      </c>
      <c r="V22" s="22" t="s">
        <v>108</v>
      </c>
      <c r="W22" s="22" t="s">
        <v>125</v>
      </c>
      <c r="X22" s="22" t="s">
        <v>109</v>
      </c>
      <c r="Y22" s="24" t="s">
        <v>150</v>
      </c>
      <c r="Z22" s="37"/>
    </row>
    <row r="23" spans="1:26" ht="137.25" customHeight="1">
      <c r="A23" s="23">
        <v>15</v>
      </c>
      <c r="B23" s="22" t="s">
        <v>139</v>
      </c>
      <c r="C23" s="28" t="s">
        <v>151</v>
      </c>
      <c r="D23" s="22" t="s">
        <v>152</v>
      </c>
      <c r="E23" s="22" t="s">
        <v>106</v>
      </c>
      <c r="F23" s="22"/>
      <c r="G23" s="22"/>
      <c r="H23" s="22"/>
      <c r="I23" s="22"/>
      <c r="J23" s="22"/>
      <c r="K23" s="22"/>
      <c r="L23" s="22"/>
      <c r="M23" s="22" t="s">
        <v>122</v>
      </c>
      <c r="N23" s="22"/>
      <c r="O23" s="22" t="s">
        <v>107</v>
      </c>
      <c r="P23" s="22"/>
      <c r="Q23" s="22"/>
      <c r="R23" s="22"/>
      <c r="S23" s="22"/>
      <c r="T23" s="22"/>
      <c r="U23" s="22" t="s">
        <v>108</v>
      </c>
      <c r="V23" s="22" t="s">
        <v>108</v>
      </c>
      <c r="W23" s="22" t="s">
        <v>108</v>
      </c>
      <c r="X23" s="22" t="s">
        <v>109</v>
      </c>
      <c r="Y23" s="24" t="s">
        <v>153</v>
      </c>
      <c r="Z23" s="37"/>
    </row>
    <row r="24" spans="1:26" ht="69" customHeight="1">
      <c r="A24" s="23">
        <v>16</v>
      </c>
      <c r="B24" s="22" t="s">
        <v>103</v>
      </c>
      <c r="C24" s="28" t="s">
        <v>154</v>
      </c>
      <c r="D24" s="22" t="s">
        <v>155</v>
      </c>
      <c r="E24" s="22" t="s">
        <v>106</v>
      </c>
      <c r="F24" s="22"/>
      <c r="G24" s="22"/>
      <c r="H24" s="22"/>
      <c r="I24" s="22"/>
      <c r="J24" s="22"/>
      <c r="K24" s="22"/>
      <c r="L24" s="22"/>
      <c r="M24" s="22" t="s">
        <v>107</v>
      </c>
      <c r="N24" s="22"/>
      <c r="O24" s="22"/>
      <c r="P24" s="22" t="s">
        <v>107</v>
      </c>
      <c r="Q24" s="22"/>
      <c r="R24" s="22"/>
      <c r="S24" s="22"/>
      <c r="T24" s="22"/>
      <c r="U24" s="22" t="s">
        <v>108</v>
      </c>
      <c r="V24" s="22" t="s">
        <v>108</v>
      </c>
      <c r="W24" s="22" t="s">
        <v>125</v>
      </c>
      <c r="X24" s="22" t="s">
        <v>109</v>
      </c>
      <c r="Y24" s="26" t="s">
        <v>156</v>
      </c>
      <c r="Z24" s="37"/>
    </row>
    <row r="25" spans="1:26" ht="70.5" customHeight="1">
      <c r="A25" s="23">
        <v>17</v>
      </c>
      <c r="B25" s="22" t="s">
        <v>103</v>
      </c>
      <c r="C25" s="11" t="s">
        <v>320</v>
      </c>
      <c r="D25" s="22" t="s">
        <v>157</v>
      </c>
      <c r="E25" s="22" t="s">
        <v>106</v>
      </c>
      <c r="F25" s="22"/>
      <c r="G25" s="22"/>
      <c r="H25" s="22"/>
      <c r="I25" s="22"/>
      <c r="J25" s="22"/>
      <c r="K25" s="22"/>
      <c r="L25" s="22"/>
      <c r="M25" s="22" t="s">
        <v>107</v>
      </c>
      <c r="N25" s="22"/>
      <c r="O25" s="22"/>
      <c r="P25" s="22"/>
      <c r="Q25" s="22"/>
      <c r="R25" s="22"/>
      <c r="S25" s="22"/>
      <c r="T25" s="22"/>
      <c r="U25" s="22" t="s">
        <v>108</v>
      </c>
      <c r="V25" s="22" t="s">
        <v>108</v>
      </c>
      <c r="W25" s="22" t="s">
        <v>125</v>
      </c>
      <c r="X25" s="22" t="s">
        <v>109</v>
      </c>
      <c r="Y25" s="24" t="s">
        <v>158</v>
      </c>
      <c r="Z25" s="37"/>
    </row>
    <row r="26" spans="1:26" ht="75" customHeight="1">
      <c r="A26" s="23">
        <v>18</v>
      </c>
      <c r="B26" s="22" t="s">
        <v>113</v>
      </c>
      <c r="C26" s="28" t="s">
        <v>159</v>
      </c>
      <c r="D26" s="22" t="s">
        <v>160</v>
      </c>
      <c r="E26" s="22" t="s">
        <v>118</v>
      </c>
      <c r="F26" s="22"/>
      <c r="G26" s="22"/>
      <c r="H26" s="22"/>
      <c r="I26" s="22"/>
      <c r="J26" s="22"/>
      <c r="K26" s="22"/>
      <c r="L26" s="22"/>
      <c r="M26" s="22" t="s">
        <v>107</v>
      </c>
      <c r="N26" s="22" t="s">
        <v>107</v>
      </c>
      <c r="O26" s="22"/>
      <c r="P26" s="22"/>
      <c r="Q26" s="22"/>
      <c r="R26" s="22"/>
      <c r="S26" s="22"/>
      <c r="T26" s="22"/>
      <c r="U26" s="22" t="s">
        <v>108</v>
      </c>
      <c r="V26" s="22" t="s">
        <v>108</v>
      </c>
      <c r="W26" s="22" t="s">
        <v>125</v>
      </c>
      <c r="X26" s="22" t="s">
        <v>109</v>
      </c>
      <c r="Y26" s="24"/>
      <c r="Z26" s="37"/>
    </row>
    <row r="27" spans="1:26" ht="129" customHeight="1">
      <c r="A27" s="23">
        <v>19</v>
      </c>
      <c r="B27" s="22" t="s">
        <v>161</v>
      </c>
      <c r="C27" s="28" t="s">
        <v>162</v>
      </c>
      <c r="D27" s="22" t="s">
        <v>163</v>
      </c>
      <c r="E27" s="22" t="s">
        <v>106</v>
      </c>
      <c r="F27" s="22"/>
      <c r="G27" s="22"/>
      <c r="H27" s="22"/>
      <c r="I27" s="22"/>
      <c r="J27" s="22"/>
      <c r="K27" s="22"/>
      <c r="L27" s="22"/>
      <c r="M27" s="22" t="s">
        <v>107</v>
      </c>
      <c r="N27" s="22"/>
      <c r="O27" s="22"/>
      <c r="P27" s="22" t="s">
        <v>122</v>
      </c>
      <c r="Q27" s="22"/>
      <c r="R27" s="22"/>
      <c r="S27" s="22"/>
      <c r="T27" s="22"/>
      <c r="U27" s="22" t="s">
        <v>108</v>
      </c>
      <c r="V27" s="22" t="s">
        <v>108</v>
      </c>
      <c r="W27" s="22" t="s">
        <v>125</v>
      </c>
      <c r="X27" s="22" t="s">
        <v>109</v>
      </c>
      <c r="Y27" s="24" t="s">
        <v>164</v>
      </c>
      <c r="Z27" s="37"/>
    </row>
    <row r="28" spans="1:26" ht="83.25" customHeight="1">
      <c r="A28" s="23">
        <v>20</v>
      </c>
      <c r="B28" s="22" t="s">
        <v>165</v>
      </c>
      <c r="C28" s="28" t="s">
        <v>166</v>
      </c>
      <c r="D28" s="22" t="s">
        <v>167</v>
      </c>
      <c r="E28" s="22" t="s">
        <v>106</v>
      </c>
      <c r="F28" s="22"/>
      <c r="G28" s="22"/>
      <c r="H28" s="22"/>
      <c r="I28" s="22"/>
      <c r="J28" s="22"/>
      <c r="K28" s="22"/>
      <c r="L28" s="22"/>
      <c r="M28" s="22" t="s">
        <v>122</v>
      </c>
      <c r="N28" s="22"/>
      <c r="O28" s="22" t="s">
        <v>107</v>
      </c>
      <c r="P28" s="22"/>
      <c r="Q28" s="22"/>
      <c r="R28" s="22"/>
      <c r="S28" s="22"/>
      <c r="T28" s="22"/>
      <c r="U28" s="22" t="s">
        <v>108</v>
      </c>
      <c r="V28" s="22" t="s">
        <v>108</v>
      </c>
      <c r="W28" s="22" t="s">
        <v>125</v>
      </c>
      <c r="X28" s="22" t="s">
        <v>109</v>
      </c>
      <c r="Y28" s="24" t="s">
        <v>168</v>
      </c>
      <c r="Z28" s="37"/>
    </row>
    <row r="29" spans="1:26" ht="80.25" customHeight="1">
      <c r="A29" s="23">
        <v>21</v>
      </c>
      <c r="B29" s="22" t="s">
        <v>165</v>
      </c>
      <c r="C29" s="28" t="s">
        <v>169</v>
      </c>
      <c r="D29" s="22" t="s">
        <v>170</v>
      </c>
      <c r="E29" s="22" t="s">
        <v>106</v>
      </c>
      <c r="F29" s="22"/>
      <c r="G29" s="22"/>
      <c r="H29" s="22"/>
      <c r="I29" s="22"/>
      <c r="J29" s="22"/>
      <c r="K29" s="22"/>
      <c r="L29" s="22"/>
      <c r="M29" s="22" t="s">
        <v>107</v>
      </c>
      <c r="N29" s="22"/>
      <c r="O29" s="22" t="s">
        <v>122</v>
      </c>
      <c r="P29" s="22"/>
      <c r="Q29" s="22"/>
      <c r="R29" s="22"/>
      <c r="S29" s="22"/>
      <c r="T29" s="22"/>
      <c r="U29" s="22" t="s">
        <v>108</v>
      </c>
      <c r="V29" s="22" t="s">
        <v>108</v>
      </c>
      <c r="W29" s="22" t="s">
        <v>125</v>
      </c>
      <c r="X29" s="22" t="s">
        <v>109</v>
      </c>
      <c r="Y29" s="24" t="s">
        <v>171</v>
      </c>
      <c r="Z29" s="37"/>
    </row>
    <row r="30" spans="1:26" ht="31">
      <c r="A30" s="23">
        <v>22</v>
      </c>
      <c r="B30" s="22" t="s">
        <v>165</v>
      </c>
      <c r="C30" s="28" t="s">
        <v>172</v>
      </c>
      <c r="D30" s="22" t="s">
        <v>173</v>
      </c>
      <c r="E30" s="22" t="s">
        <v>118</v>
      </c>
      <c r="F30" s="22"/>
      <c r="G30" s="22"/>
      <c r="H30" s="22"/>
      <c r="I30" s="22"/>
      <c r="J30" s="22"/>
      <c r="K30" s="22"/>
      <c r="L30" s="22"/>
      <c r="M30" s="22" t="s">
        <v>107</v>
      </c>
      <c r="N30" s="22"/>
      <c r="O30" s="22" t="s">
        <v>107</v>
      </c>
      <c r="P30" s="22"/>
      <c r="Q30" s="22"/>
      <c r="R30" s="22"/>
      <c r="S30" s="22"/>
      <c r="T30" s="22"/>
      <c r="U30" s="22" t="s">
        <v>108</v>
      </c>
      <c r="V30" s="22" t="s">
        <v>108</v>
      </c>
      <c r="W30" s="22" t="s">
        <v>125</v>
      </c>
      <c r="X30" s="22" t="s">
        <v>109</v>
      </c>
      <c r="Y30" s="24"/>
      <c r="Z30" s="37"/>
    </row>
    <row r="31" spans="1:26" ht="147.75" customHeight="1">
      <c r="A31" s="23">
        <v>23</v>
      </c>
      <c r="B31" s="22" t="s">
        <v>165</v>
      </c>
      <c r="C31" s="67" t="s">
        <v>174</v>
      </c>
      <c r="D31" s="22"/>
      <c r="E31" s="22" t="s">
        <v>106</v>
      </c>
      <c r="F31" s="22"/>
      <c r="G31" s="22"/>
      <c r="H31" s="22"/>
      <c r="I31" s="22"/>
      <c r="J31" s="22"/>
      <c r="K31" s="22"/>
      <c r="L31" s="22"/>
      <c r="M31" s="22" t="s">
        <v>107</v>
      </c>
      <c r="N31" s="22"/>
      <c r="O31" s="22" t="s">
        <v>107</v>
      </c>
      <c r="P31" s="22"/>
      <c r="Q31" s="22"/>
      <c r="R31" s="22"/>
      <c r="S31" s="22"/>
      <c r="T31" s="22"/>
      <c r="U31" s="22" t="s">
        <v>108</v>
      </c>
      <c r="V31" s="22" t="s">
        <v>108</v>
      </c>
      <c r="W31" s="22" t="s">
        <v>125</v>
      </c>
      <c r="X31" s="22" t="s">
        <v>109</v>
      </c>
      <c r="Y31" s="26" t="s">
        <v>175</v>
      </c>
      <c r="Z31" s="37"/>
    </row>
    <row r="32" spans="1:26" ht="31">
      <c r="A32" s="23">
        <v>24</v>
      </c>
      <c r="B32" s="22" t="s">
        <v>139</v>
      </c>
      <c r="C32" s="40" t="s">
        <v>176</v>
      </c>
      <c r="D32" s="22" t="s">
        <v>177</v>
      </c>
      <c r="E32" s="22" t="s">
        <v>118</v>
      </c>
      <c r="F32" s="22"/>
      <c r="G32" s="22"/>
      <c r="H32" s="22"/>
      <c r="I32" s="22"/>
      <c r="J32" s="22"/>
      <c r="K32" s="22"/>
      <c r="L32" s="22"/>
      <c r="M32" s="22" t="s">
        <v>122</v>
      </c>
      <c r="N32" s="22"/>
      <c r="O32" s="22" t="s">
        <v>107</v>
      </c>
      <c r="P32" s="22"/>
      <c r="Q32" s="22"/>
      <c r="R32" s="22"/>
      <c r="S32" s="22"/>
      <c r="T32" s="22"/>
      <c r="U32" s="22" t="s">
        <v>0</v>
      </c>
      <c r="V32" s="22" t="s">
        <v>108</v>
      </c>
      <c r="W32" s="22" t="s">
        <v>125</v>
      </c>
      <c r="X32" s="22" t="s">
        <v>109</v>
      </c>
      <c r="Y32" s="38"/>
      <c r="Z32" s="37"/>
    </row>
    <row r="33" spans="1:26" ht="84.75" customHeight="1">
      <c r="A33" s="23">
        <v>25</v>
      </c>
      <c r="B33" s="22" t="s">
        <v>103</v>
      </c>
      <c r="C33" s="28" t="s">
        <v>178</v>
      </c>
      <c r="D33" s="22" t="s">
        <v>179</v>
      </c>
      <c r="E33" s="22" t="s">
        <v>106</v>
      </c>
      <c r="F33" s="22"/>
      <c r="G33" s="22"/>
      <c r="H33" s="22"/>
      <c r="I33" s="22"/>
      <c r="J33" s="22"/>
      <c r="K33" s="22"/>
      <c r="L33" s="22"/>
      <c r="M33" s="22" t="s">
        <v>107</v>
      </c>
      <c r="N33" s="22"/>
      <c r="O33" s="22"/>
      <c r="P33" s="22"/>
      <c r="Q33" s="22"/>
      <c r="R33" s="22"/>
      <c r="S33" s="22"/>
      <c r="T33" s="22"/>
      <c r="U33" s="22" t="s">
        <v>0</v>
      </c>
      <c r="V33" s="22" t="s">
        <v>108</v>
      </c>
      <c r="W33" s="22" t="s">
        <v>125</v>
      </c>
      <c r="X33" s="22" t="s">
        <v>109</v>
      </c>
      <c r="Y33" s="24" t="s">
        <v>180</v>
      </c>
      <c r="Z33" s="37"/>
    </row>
    <row r="34" spans="1:26" ht="117.75" customHeight="1">
      <c r="A34" s="23">
        <v>26</v>
      </c>
      <c r="B34" s="22" t="s">
        <v>103</v>
      </c>
      <c r="C34" s="27" t="s">
        <v>181</v>
      </c>
      <c r="D34" s="22" t="s">
        <v>182</v>
      </c>
      <c r="E34" s="22" t="s">
        <v>106</v>
      </c>
      <c r="F34" s="22"/>
      <c r="G34" s="22"/>
      <c r="H34" s="22"/>
      <c r="I34" s="22"/>
      <c r="J34" s="22"/>
      <c r="K34" s="22"/>
      <c r="L34" s="22"/>
      <c r="M34" s="22" t="s">
        <v>107</v>
      </c>
      <c r="N34" s="22"/>
      <c r="O34" s="22" t="s">
        <v>122</v>
      </c>
      <c r="P34" s="22"/>
      <c r="Q34" s="22"/>
      <c r="R34" s="22"/>
      <c r="S34" s="22"/>
      <c r="T34" s="22"/>
      <c r="U34" s="22" t="s">
        <v>108</v>
      </c>
      <c r="V34" s="22" t="s">
        <v>0</v>
      </c>
      <c r="W34" s="22" t="s">
        <v>125</v>
      </c>
      <c r="X34" s="22" t="s">
        <v>109</v>
      </c>
      <c r="Y34" s="24" t="s">
        <v>183</v>
      </c>
      <c r="Z34" s="37"/>
    </row>
    <row r="35" spans="1:26" ht="204.75" customHeight="1">
      <c r="A35" s="23">
        <v>27</v>
      </c>
      <c r="B35" s="22" t="s">
        <v>161</v>
      </c>
      <c r="C35" s="68" t="s">
        <v>184</v>
      </c>
      <c r="D35" s="22" t="s">
        <v>185</v>
      </c>
      <c r="E35" s="22" t="s">
        <v>106</v>
      </c>
      <c r="F35" s="22"/>
      <c r="G35" s="22"/>
      <c r="H35" s="22"/>
      <c r="I35" s="22"/>
      <c r="J35" s="22"/>
      <c r="K35" s="22"/>
      <c r="L35" s="22"/>
      <c r="M35" s="22" t="s">
        <v>107</v>
      </c>
      <c r="N35" s="22"/>
      <c r="O35" s="22"/>
      <c r="P35" s="22" t="s">
        <v>122</v>
      </c>
      <c r="Q35" s="22"/>
      <c r="R35" s="22"/>
      <c r="S35" s="22"/>
      <c r="T35" s="22"/>
      <c r="U35" s="22" t="s">
        <v>108</v>
      </c>
      <c r="V35" s="22" t="s">
        <v>0</v>
      </c>
      <c r="W35" s="22" t="s">
        <v>125</v>
      </c>
      <c r="X35" s="22" t="s">
        <v>109</v>
      </c>
      <c r="Y35" s="24" t="s">
        <v>186</v>
      </c>
      <c r="Z35" s="37"/>
    </row>
    <row r="36" spans="1:26" ht="31">
      <c r="A36" s="23">
        <v>28</v>
      </c>
      <c r="B36" s="22" t="s">
        <v>103</v>
      </c>
      <c r="C36" s="40" t="s">
        <v>187</v>
      </c>
      <c r="D36" s="22" t="s">
        <v>188</v>
      </c>
      <c r="E36" s="22" t="s">
        <v>106</v>
      </c>
      <c r="F36" s="22"/>
      <c r="G36" s="22"/>
      <c r="H36" s="22"/>
      <c r="I36" s="22"/>
      <c r="J36" s="22"/>
      <c r="K36" s="22"/>
      <c r="L36" s="22"/>
      <c r="M36" s="22" t="s">
        <v>107</v>
      </c>
      <c r="N36" s="22"/>
      <c r="O36" s="22" t="s">
        <v>122</v>
      </c>
      <c r="P36" s="22"/>
      <c r="Q36" s="22"/>
      <c r="R36" s="22"/>
      <c r="S36" s="22"/>
      <c r="T36" s="22"/>
      <c r="U36" s="22" t="s">
        <v>108</v>
      </c>
      <c r="V36" s="22" t="s">
        <v>108</v>
      </c>
      <c r="W36" s="22" t="s">
        <v>125</v>
      </c>
      <c r="X36" s="22" t="s">
        <v>109</v>
      </c>
      <c r="Y36" s="38"/>
      <c r="Z36" s="37"/>
    </row>
    <row r="37" spans="1:26" ht="87.75" customHeight="1">
      <c r="A37" s="23">
        <v>29</v>
      </c>
      <c r="B37" s="22" t="s">
        <v>161</v>
      </c>
      <c r="C37" s="28" t="s">
        <v>189</v>
      </c>
      <c r="D37" s="22" t="s">
        <v>190</v>
      </c>
      <c r="E37" s="22" t="s">
        <v>106</v>
      </c>
      <c r="F37" s="22"/>
      <c r="G37" s="22"/>
      <c r="H37" s="22"/>
      <c r="I37" s="22"/>
      <c r="J37" s="22"/>
      <c r="K37" s="22"/>
      <c r="L37" s="22"/>
      <c r="M37" s="22" t="s">
        <v>107</v>
      </c>
      <c r="N37" s="22"/>
      <c r="O37" s="22"/>
      <c r="P37" s="22"/>
      <c r="Q37" s="22"/>
      <c r="R37" s="22"/>
      <c r="S37" s="22"/>
      <c r="T37" s="22"/>
      <c r="U37" s="22" t="s">
        <v>108</v>
      </c>
      <c r="V37" s="22" t="s">
        <v>0</v>
      </c>
      <c r="W37" s="22" t="s">
        <v>125</v>
      </c>
      <c r="X37" s="22" t="s">
        <v>109</v>
      </c>
      <c r="Y37" s="24" t="s">
        <v>191</v>
      </c>
      <c r="Z37" s="37"/>
    </row>
    <row r="38" spans="1:26" ht="81" customHeight="1">
      <c r="A38" s="23">
        <v>30</v>
      </c>
      <c r="B38" s="22" t="s">
        <v>192</v>
      </c>
      <c r="C38" s="27" t="s">
        <v>193</v>
      </c>
      <c r="D38" s="22" t="s">
        <v>194</v>
      </c>
      <c r="E38" s="22" t="s">
        <v>106</v>
      </c>
      <c r="F38" s="22"/>
      <c r="G38" s="22"/>
      <c r="H38" s="22"/>
      <c r="I38" s="22"/>
      <c r="J38" s="22"/>
      <c r="K38" s="22"/>
      <c r="L38" s="22"/>
      <c r="M38" s="22"/>
      <c r="N38" s="22"/>
      <c r="O38" s="22" t="s">
        <v>107</v>
      </c>
      <c r="P38" s="22"/>
      <c r="Q38" s="22"/>
      <c r="R38" s="22"/>
      <c r="S38" s="22"/>
      <c r="T38" s="22"/>
      <c r="U38" s="22" t="s">
        <v>108</v>
      </c>
      <c r="V38" s="22" t="s">
        <v>108</v>
      </c>
      <c r="W38" s="22" t="s">
        <v>125</v>
      </c>
      <c r="X38" s="22" t="s">
        <v>109</v>
      </c>
      <c r="Y38" s="26" t="s">
        <v>195</v>
      </c>
      <c r="Z38" s="37"/>
    </row>
    <row r="39" spans="1:26" ht="31">
      <c r="A39" s="23">
        <v>31</v>
      </c>
      <c r="B39" s="22" t="s">
        <v>139</v>
      </c>
      <c r="C39" s="27" t="s">
        <v>196</v>
      </c>
      <c r="D39" s="22" t="s">
        <v>197</v>
      </c>
      <c r="E39" s="22" t="s">
        <v>106</v>
      </c>
      <c r="F39" s="22"/>
      <c r="G39" s="22"/>
      <c r="H39" s="22"/>
      <c r="I39" s="22"/>
      <c r="J39" s="22"/>
      <c r="K39" s="22"/>
      <c r="L39" s="22"/>
      <c r="M39" s="22"/>
      <c r="N39" s="22"/>
      <c r="O39" s="22" t="s">
        <v>107</v>
      </c>
      <c r="P39" s="22"/>
      <c r="Q39" s="22"/>
      <c r="R39" s="22"/>
      <c r="S39" s="22"/>
      <c r="T39" s="22"/>
      <c r="U39" s="22" t="s">
        <v>108</v>
      </c>
      <c r="V39" s="22" t="s">
        <v>0</v>
      </c>
      <c r="W39" s="22" t="s">
        <v>108</v>
      </c>
      <c r="X39" s="22" t="s">
        <v>109</v>
      </c>
      <c r="Y39" s="24" t="s">
        <v>198</v>
      </c>
      <c r="Z39" s="37"/>
    </row>
    <row r="40" spans="1:26" ht="78.75" customHeight="1">
      <c r="A40" s="23">
        <v>32</v>
      </c>
      <c r="B40" s="22" t="s">
        <v>192</v>
      </c>
      <c r="C40" s="28" t="s">
        <v>199</v>
      </c>
      <c r="D40" s="22"/>
      <c r="E40" s="22" t="s">
        <v>106</v>
      </c>
      <c r="F40" s="22"/>
      <c r="G40" s="22"/>
      <c r="H40" s="22"/>
      <c r="I40" s="22"/>
      <c r="J40" s="22"/>
      <c r="K40" s="22"/>
      <c r="L40" s="22"/>
      <c r="M40" s="22" t="s">
        <v>107</v>
      </c>
      <c r="N40" s="22"/>
      <c r="O40" s="22" t="s">
        <v>107</v>
      </c>
      <c r="P40" s="22"/>
      <c r="Q40" s="22"/>
      <c r="R40" s="22"/>
      <c r="S40" s="22"/>
      <c r="T40" s="22"/>
      <c r="U40" s="22" t="s">
        <v>108</v>
      </c>
      <c r="V40" s="22" t="s">
        <v>108</v>
      </c>
      <c r="W40" s="22" t="s">
        <v>125</v>
      </c>
      <c r="X40" s="22" t="s">
        <v>109</v>
      </c>
      <c r="Y40" s="24" t="s">
        <v>200</v>
      </c>
      <c r="Z40" s="37"/>
    </row>
    <row r="41" spans="1:26" ht="83.25" customHeight="1">
      <c r="A41" s="23">
        <v>33</v>
      </c>
      <c r="B41" s="22" t="s">
        <v>192</v>
      </c>
      <c r="C41" s="41" t="s">
        <v>201</v>
      </c>
      <c r="D41" s="22"/>
      <c r="E41" s="22" t="s">
        <v>106</v>
      </c>
      <c r="F41" s="22"/>
      <c r="G41" s="22"/>
      <c r="H41" s="22"/>
      <c r="I41" s="22"/>
      <c r="J41" s="22"/>
      <c r="K41" s="22"/>
      <c r="L41" s="22"/>
      <c r="M41" s="22"/>
      <c r="N41" s="22"/>
      <c r="O41" s="22" t="s">
        <v>107</v>
      </c>
      <c r="P41" s="22"/>
      <c r="Q41" s="22"/>
      <c r="R41" s="22"/>
      <c r="S41" s="22"/>
      <c r="T41" s="22"/>
      <c r="U41" s="22" t="s">
        <v>108</v>
      </c>
      <c r="V41" s="22" t="s">
        <v>108</v>
      </c>
      <c r="W41" s="22" t="s">
        <v>125</v>
      </c>
      <c r="X41" s="22" t="s">
        <v>109</v>
      </c>
      <c r="Y41" s="24" t="s">
        <v>202</v>
      </c>
      <c r="Z41" s="37"/>
    </row>
    <row r="42" spans="1:26" ht="92.25" customHeight="1">
      <c r="A42" s="23">
        <v>34</v>
      </c>
      <c r="B42" s="22" t="s">
        <v>139</v>
      </c>
      <c r="C42" s="28" t="s">
        <v>203</v>
      </c>
      <c r="D42" s="22" t="s">
        <v>204</v>
      </c>
      <c r="E42" s="22" t="s">
        <v>106</v>
      </c>
      <c r="F42" s="22"/>
      <c r="G42" s="22"/>
      <c r="H42" s="22"/>
      <c r="I42" s="22"/>
      <c r="J42" s="22"/>
      <c r="K42" s="22"/>
      <c r="L42" s="22"/>
      <c r="M42" s="22"/>
      <c r="N42" s="22"/>
      <c r="O42" s="22" t="s">
        <v>107</v>
      </c>
      <c r="P42" s="22"/>
      <c r="Q42" s="22"/>
      <c r="R42" s="22"/>
      <c r="S42" s="22"/>
      <c r="T42" s="22"/>
      <c r="U42" s="22" t="s">
        <v>108</v>
      </c>
      <c r="V42" s="22" t="s">
        <v>108</v>
      </c>
      <c r="W42" s="22" t="s">
        <v>125</v>
      </c>
      <c r="X42" s="22" t="s">
        <v>109</v>
      </c>
      <c r="Y42" s="24" t="s">
        <v>205</v>
      </c>
      <c r="Z42" s="37"/>
    </row>
    <row r="43" spans="1:26" ht="91.5" customHeight="1">
      <c r="A43" s="23">
        <v>35</v>
      </c>
      <c r="B43" s="22" t="s">
        <v>139</v>
      </c>
      <c r="C43" s="28" t="s">
        <v>206</v>
      </c>
      <c r="D43" s="22"/>
      <c r="E43" s="22" t="s">
        <v>106</v>
      </c>
      <c r="F43" s="22"/>
      <c r="G43" s="22"/>
      <c r="H43" s="22"/>
      <c r="I43" s="22"/>
      <c r="J43" s="22"/>
      <c r="K43" s="22"/>
      <c r="L43" s="22"/>
      <c r="M43" s="22"/>
      <c r="N43" s="22"/>
      <c r="O43" s="22" t="s">
        <v>107</v>
      </c>
      <c r="P43" s="22"/>
      <c r="Q43" s="22"/>
      <c r="R43" s="22"/>
      <c r="S43" s="22"/>
      <c r="T43" s="22"/>
      <c r="U43" s="22" t="s">
        <v>0</v>
      </c>
      <c r="V43" s="22" t="s">
        <v>108</v>
      </c>
      <c r="W43" s="22" t="s">
        <v>125</v>
      </c>
      <c r="X43" s="22" t="s">
        <v>109</v>
      </c>
      <c r="Y43" s="24" t="s">
        <v>207</v>
      </c>
      <c r="Z43" s="37"/>
    </row>
    <row r="44" spans="1:26" ht="62.25" customHeight="1">
      <c r="A44" s="23">
        <v>36</v>
      </c>
      <c r="B44" s="22" t="s">
        <v>139</v>
      </c>
      <c r="C44" s="28" t="s">
        <v>208</v>
      </c>
      <c r="D44" s="22"/>
      <c r="E44" s="22" t="s">
        <v>106</v>
      </c>
      <c r="F44" s="22"/>
      <c r="G44" s="22"/>
      <c r="H44" s="22"/>
      <c r="I44" s="22"/>
      <c r="J44" s="22"/>
      <c r="K44" s="22"/>
      <c r="L44" s="22"/>
      <c r="M44" s="22"/>
      <c r="N44" s="22"/>
      <c r="O44" s="22" t="s">
        <v>107</v>
      </c>
      <c r="P44" s="22"/>
      <c r="Q44" s="22"/>
      <c r="R44" s="22"/>
      <c r="S44" s="22"/>
      <c r="T44" s="22"/>
      <c r="U44" s="22" t="s">
        <v>0</v>
      </c>
      <c r="V44" s="22" t="s">
        <v>108</v>
      </c>
      <c r="W44" s="22" t="s">
        <v>125</v>
      </c>
      <c r="X44" s="22" t="s">
        <v>109</v>
      </c>
      <c r="Y44" s="24" t="s">
        <v>209</v>
      </c>
      <c r="Z44" s="37"/>
    </row>
    <row r="45" spans="1:26" ht="102" customHeight="1">
      <c r="A45" s="23">
        <v>37</v>
      </c>
      <c r="B45" s="22" t="s">
        <v>192</v>
      </c>
      <c r="C45" s="28" t="s">
        <v>210</v>
      </c>
      <c r="D45" s="22"/>
      <c r="E45" s="22" t="s">
        <v>106</v>
      </c>
      <c r="F45" s="22"/>
      <c r="G45" s="22"/>
      <c r="H45" s="22"/>
      <c r="I45" s="22"/>
      <c r="J45" s="22"/>
      <c r="K45" s="22"/>
      <c r="L45" s="22"/>
      <c r="M45" s="22"/>
      <c r="N45" s="22"/>
      <c r="O45" s="22" t="s">
        <v>107</v>
      </c>
      <c r="P45" s="22"/>
      <c r="Q45" s="22"/>
      <c r="R45" s="22"/>
      <c r="S45" s="22"/>
      <c r="T45" s="22"/>
      <c r="U45" s="22" t="s">
        <v>108</v>
      </c>
      <c r="V45" s="22" t="s">
        <v>108</v>
      </c>
      <c r="W45" s="22" t="s">
        <v>108</v>
      </c>
      <c r="X45" s="22" t="s">
        <v>109</v>
      </c>
      <c r="Y45" s="24" t="s">
        <v>211</v>
      </c>
      <c r="Z45" s="37"/>
    </row>
    <row r="46" spans="1:26" ht="122.25" customHeight="1">
      <c r="A46" s="23">
        <v>38</v>
      </c>
      <c r="B46" s="22" t="s">
        <v>212</v>
      </c>
      <c r="C46" s="28" t="s">
        <v>213</v>
      </c>
      <c r="D46" s="22"/>
      <c r="E46" s="22" t="s">
        <v>118</v>
      </c>
      <c r="F46" s="22"/>
      <c r="G46" s="22"/>
      <c r="H46" s="22"/>
      <c r="I46" s="22"/>
      <c r="J46" s="22"/>
      <c r="K46" s="22"/>
      <c r="L46" s="22"/>
      <c r="M46" s="22" t="s">
        <v>107</v>
      </c>
      <c r="N46" s="22"/>
      <c r="O46" s="22"/>
      <c r="P46" s="22"/>
      <c r="Q46" s="22"/>
      <c r="R46" s="22"/>
      <c r="S46" s="22"/>
      <c r="T46" s="22"/>
      <c r="U46" s="22" t="s">
        <v>108</v>
      </c>
      <c r="V46" s="22" t="s">
        <v>108</v>
      </c>
      <c r="W46" s="22" t="s">
        <v>108</v>
      </c>
      <c r="X46" s="22" t="s">
        <v>109</v>
      </c>
      <c r="Y46" s="26" t="s">
        <v>214</v>
      </c>
      <c r="Z46" s="37"/>
    </row>
    <row r="47" spans="1:26" ht="100.5" customHeight="1">
      <c r="A47" s="23">
        <v>39</v>
      </c>
      <c r="B47" s="22" t="s">
        <v>212</v>
      </c>
      <c r="C47" s="28" t="s">
        <v>215</v>
      </c>
      <c r="D47" s="22"/>
      <c r="E47" s="22" t="s">
        <v>118</v>
      </c>
      <c r="F47" s="22"/>
      <c r="G47" s="22"/>
      <c r="H47" s="22"/>
      <c r="I47" s="22"/>
      <c r="J47" s="22"/>
      <c r="K47" s="22"/>
      <c r="L47" s="22"/>
      <c r="M47" s="22" t="s">
        <v>107</v>
      </c>
      <c r="N47" s="22"/>
      <c r="O47" s="22" t="s">
        <v>122</v>
      </c>
      <c r="P47" s="22"/>
      <c r="Q47" s="22"/>
      <c r="R47" s="22"/>
      <c r="S47" s="22"/>
      <c r="T47" s="22"/>
      <c r="U47" s="22" t="s">
        <v>108</v>
      </c>
      <c r="V47" s="22" t="s">
        <v>108</v>
      </c>
      <c r="W47" s="22" t="s">
        <v>125</v>
      </c>
      <c r="X47" s="22" t="s">
        <v>109</v>
      </c>
      <c r="Y47" s="26" t="s">
        <v>216</v>
      </c>
      <c r="Z47" s="37"/>
    </row>
    <row r="48" spans="1:26" ht="236.25" customHeight="1">
      <c r="A48" s="23">
        <v>40</v>
      </c>
      <c r="B48" s="22" t="s">
        <v>161</v>
      </c>
      <c r="C48" s="28" t="s">
        <v>217</v>
      </c>
      <c r="D48" s="22"/>
      <c r="E48" s="22" t="s">
        <v>106</v>
      </c>
      <c r="F48" s="22"/>
      <c r="G48" s="22"/>
      <c r="H48" s="22"/>
      <c r="I48" s="22"/>
      <c r="J48" s="22"/>
      <c r="K48" s="22"/>
      <c r="L48" s="22"/>
      <c r="M48" s="22" t="s">
        <v>107</v>
      </c>
      <c r="N48" s="22"/>
      <c r="O48" s="22"/>
      <c r="P48" s="22" t="s">
        <v>122</v>
      </c>
      <c r="Q48" s="22"/>
      <c r="R48" s="22"/>
      <c r="S48" s="22"/>
      <c r="T48" s="22"/>
      <c r="U48" s="22" t="s">
        <v>108</v>
      </c>
      <c r="V48" s="22" t="s">
        <v>108</v>
      </c>
      <c r="W48" s="22" t="s">
        <v>108</v>
      </c>
      <c r="X48" s="22" t="s">
        <v>109</v>
      </c>
      <c r="Y48" s="24" t="s">
        <v>218</v>
      </c>
      <c r="Z48" s="37"/>
    </row>
    <row r="49" spans="1:26" ht="198" customHeight="1">
      <c r="A49" s="23">
        <v>41</v>
      </c>
      <c r="B49" s="22" t="s">
        <v>161</v>
      </c>
      <c r="C49" s="67" t="s">
        <v>219</v>
      </c>
      <c r="D49" s="22"/>
      <c r="E49" s="22" t="s">
        <v>106</v>
      </c>
      <c r="F49" s="22"/>
      <c r="G49" s="22"/>
      <c r="H49" s="22"/>
      <c r="I49" s="22"/>
      <c r="J49" s="22"/>
      <c r="K49" s="22"/>
      <c r="L49" s="22"/>
      <c r="M49" s="22" t="s">
        <v>107</v>
      </c>
      <c r="N49" s="22"/>
      <c r="O49" s="22"/>
      <c r="P49" s="22" t="s">
        <v>122</v>
      </c>
      <c r="Q49" s="22"/>
      <c r="R49" s="22"/>
      <c r="S49" s="22"/>
      <c r="T49" s="22"/>
      <c r="U49" s="22" t="s">
        <v>108</v>
      </c>
      <c r="V49" s="22" t="s">
        <v>108</v>
      </c>
      <c r="W49" s="22" t="s">
        <v>125</v>
      </c>
      <c r="X49" s="22" t="s">
        <v>109</v>
      </c>
      <c r="Y49" s="24" t="s">
        <v>220</v>
      </c>
      <c r="Z49" s="37"/>
    </row>
    <row r="50" spans="1:26" ht="97.5" customHeight="1">
      <c r="A50" s="23">
        <v>42</v>
      </c>
      <c r="B50" s="22" t="s">
        <v>161</v>
      </c>
      <c r="C50" s="28" t="s">
        <v>221</v>
      </c>
      <c r="D50" s="22"/>
      <c r="E50" s="22" t="s">
        <v>118</v>
      </c>
      <c r="F50" s="22"/>
      <c r="G50" s="22"/>
      <c r="H50" s="22"/>
      <c r="I50" s="22"/>
      <c r="J50" s="22"/>
      <c r="K50" s="22"/>
      <c r="L50" s="22"/>
      <c r="M50" s="22" t="s">
        <v>107</v>
      </c>
      <c r="N50" s="22"/>
      <c r="O50" s="22"/>
      <c r="P50" s="22"/>
      <c r="Q50" s="22"/>
      <c r="R50" s="22"/>
      <c r="S50" s="22"/>
      <c r="T50" s="22"/>
      <c r="U50" s="22" t="s">
        <v>108</v>
      </c>
      <c r="V50" s="22" t="s">
        <v>108</v>
      </c>
      <c r="W50" s="22" t="s">
        <v>125</v>
      </c>
      <c r="X50" s="22" t="s">
        <v>109</v>
      </c>
      <c r="Y50" s="24" t="s">
        <v>222</v>
      </c>
      <c r="Z50" s="37"/>
    </row>
    <row r="51" spans="1:26" ht="108.75" customHeight="1">
      <c r="A51" s="23">
        <v>43</v>
      </c>
      <c r="B51" s="22" t="s">
        <v>161</v>
      </c>
      <c r="C51" s="28" t="s">
        <v>223</v>
      </c>
      <c r="D51" s="22"/>
      <c r="E51" s="22" t="s">
        <v>106</v>
      </c>
      <c r="F51" s="22"/>
      <c r="G51" s="22"/>
      <c r="H51" s="22"/>
      <c r="I51" s="22"/>
      <c r="J51" s="22"/>
      <c r="K51" s="22"/>
      <c r="L51" s="22"/>
      <c r="M51" s="22" t="s">
        <v>107</v>
      </c>
      <c r="N51" s="22"/>
      <c r="O51" s="22" t="s">
        <v>122</v>
      </c>
      <c r="P51" s="22"/>
      <c r="Q51" s="22"/>
      <c r="R51" s="22"/>
      <c r="S51" s="22"/>
      <c r="T51" s="22"/>
      <c r="U51" s="22" t="s">
        <v>108</v>
      </c>
      <c r="V51" s="22" t="s">
        <v>108</v>
      </c>
      <c r="W51" s="22" t="s">
        <v>125</v>
      </c>
      <c r="X51" s="22" t="s">
        <v>109</v>
      </c>
      <c r="Y51" s="24" t="s">
        <v>224</v>
      </c>
      <c r="Z51" s="37"/>
    </row>
    <row r="52" spans="1:26" ht="31">
      <c r="A52" s="23">
        <v>44</v>
      </c>
      <c r="B52" s="22" t="s">
        <v>161</v>
      </c>
      <c r="C52" s="28" t="s">
        <v>225</v>
      </c>
      <c r="D52" s="22"/>
      <c r="E52" s="22" t="s">
        <v>106</v>
      </c>
      <c r="F52" s="22"/>
      <c r="G52" s="22"/>
      <c r="H52" s="22"/>
      <c r="I52" s="22"/>
      <c r="J52" s="22"/>
      <c r="K52" s="22"/>
      <c r="L52" s="22"/>
      <c r="M52" s="22" t="s">
        <v>107</v>
      </c>
      <c r="N52" s="22"/>
      <c r="O52" s="22"/>
      <c r="P52" s="22" t="s">
        <v>122</v>
      </c>
      <c r="Q52" s="22"/>
      <c r="R52" s="22"/>
      <c r="S52" s="22"/>
      <c r="T52" s="22"/>
      <c r="U52" s="22" t="s">
        <v>108</v>
      </c>
      <c r="V52" s="22" t="s">
        <v>108</v>
      </c>
      <c r="W52" s="22" t="s">
        <v>125</v>
      </c>
      <c r="X52" s="22" t="s">
        <v>109</v>
      </c>
      <c r="Y52" s="24"/>
      <c r="Z52" s="37"/>
    </row>
    <row r="53" spans="1:26" ht="31">
      <c r="A53" s="23">
        <v>45</v>
      </c>
      <c r="B53" s="22" t="s">
        <v>161</v>
      </c>
      <c r="C53" s="28" t="s">
        <v>226</v>
      </c>
      <c r="D53" s="22"/>
      <c r="E53" s="22" t="s">
        <v>106</v>
      </c>
      <c r="F53" s="22"/>
      <c r="G53" s="22"/>
      <c r="H53" s="22"/>
      <c r="I53" s="22"/>
      <c r="J53" s="22"/>
      <c r="K53" s="22"/>
      <c r="L53" s="22"/>
      <c r="M53" s="22" t="s">
        <v>107</v>
      </c>
      <c r="N53" s="22"/>
      <c r="O53" s="22"/>
      <c r="P53" s="22" t="s">
        <v>122</v>
      </c>
      <c r="Q53" s="22"/>
      <c r="R53" s="22"/>
      <c r="S53" s="22"/>
      <c r="T53" s="22"/>
      <c r="U53" s="22" t="s">
        <v>108</v>
      </c>
      <c r="V53" s="22" t="s">
        <v>108</v>
      </c>
      <c r="W53" s="22" t="s">
        <v>125</v>
      </c>
      <c r="X53" s="22" t="s">
        <v>109</v>
      </c>
      <c r="Y53" s="24"/>
      <c r="Z53" s="37"/>
    </row>
    <row r="54" spans="1:26" ht="89.25" customHeight="1">
      <c r="A54" s="23">
        <v>46</v>
      </c>
      <c r="B54" s="22" t="s">
        <v>161</v>
      </c>
      <c r="C54" s="28" t="s">
        <v>227</v>
      </c>
      <c r="D54" s="22"/>
      <c r="E54" s="22" t="s">
        <v>106</v>
      </c>
      <c r="F54" s="22"/>
      <c r="G54" s="22"/>
      <c r="H54" s="22"/>
      <c r="I54" s="22"/>
      <c r="J54" s="22"/>
      <c r="K54" s="22"/>
      <c r="L54" s="22"/>
      <c r="M54" s="22" t="s">
        <v>107</v>
      </c>
      <c r="N54" s="22"/>
      <c r="O54" s="22"/>
      <c r="P54" s="22" t="s">
        <v>122</v>
      </c>
      <c r="Q54" s="22"/>
      <c r="R54" s="22"/>
      <c r="S54" s="22"/>
      <c r="T54" s="22"/>
      <c r="U54" s="22" t="s">
        <v>108</v>
      </c>
      <c r="V54" s="22" t="s">
        <v>108</v>
      </c>
      <c r="W54" s="22" t="s">
        <v>125</v>
      </c>
      <c r="X54" s="22" t="s">
        <v>109</v>
      </c>
      <c r="Y54" s="24" t="s">
        <v>228</v>
      </c>
      <c r="Z54" s="37"/>
    </row>
    <row r="55" spans="1:26" ht="46.5">
      <c r="A55" s="23">
        <v>47</v>
      </c>
      <c r="B55" s="22" t="s">
        <v>161</v>
      </c>
      <c r="C55" s="28" t="s">
        <v>229</v>
      </c>
      <c r="D55" s="22"/>
      <c r="E55" s="22" t="s">
        <v>106</v>
      </c>
      <c r="F55" s="22"/>
      <c r="G55" s="22"/>
      <c r="H55" s="22"/>
      <c r="I55" s="22"/>
      <c r="J55" s="22"/>
      <c r="K55" s="22"/>
      <c r="L55" s="22"/>
      <c r="M55" s="22" t="s">
        <v>107</v>
      </c>
      <c r="N55" s="22"/>
      <c r="O55" s="22"/>
      <c r="P55" s="22" t="s">
        <v>122</v>
      </c>
      <c r="Q55" s="22"/>
      <c r="R55" s="22"/>
      <c r="S55" s="22"/>
      <c r="T55" s="22"/>
      <c r="U55" s="22" t="s">
        <v>108</v>
      </c>
      <c r="V55" s="22" t="s">
        <v>108</v>
      </c>
      <c r="W55" s="22" t="s">
        <v>125</v>
      </c>
      <c r="X55" s="22" t="s">
        <v>109</v>
      </c>
      <c r="Y55" s="24"/>
      <c r="Z55" s="37"/>
    </row>
    <row r="56" spans="1:26" ht="31">
      <c r="A56" s="23">
        <v>48</v>
      </c>
      <c r="B56" s="22" t="s">
        <v>161</v>
      </c>
      <c r="C56" s="28" t="s">
        <v>230</v>
      </c>
      <c r="D56" s="22"/>
      <c r="E56" s="22" t="s">
        <v>106</v>
      </c>
      <c r="F56" s="22"/>
      <c r="G56" s="22"/>
      <c r="H56" s="22"/>
      <c r="I56" s="22"/>
      <c r="J56" s="22"/>
      <c r="K56" s="22"/>
      <c r="L56" s="22"/>
      <c r="M56" s="22" t="s">
        <v>107</v>
      </c>
      <c r="N56" s="22"/>
      <c r="O56" s="22"/>
      <c r="P56" s="22" t="s">
        <v>122</v>
      </c>
      <c r="Q56" s="22"/>
      <c r="R56" s="22"/>
      <c r="S56" s="22"/>
      <c r="T56" s="22"/>
      <c r="U56" s="22" t="s">
        <v>108</v>
      </c>
      <c r="V56" s="22" t="s">
        <v>108</v>
      </c>
      <c r="W56" s="22" t="s">
        <v>125</v>
      </c>
      <c r="X56" s="22" t="s">
        <v>109</v>
      </c>
      <c r="Y56" s="24" t="s">
        <v>231</v>
      </c>
      <c r="Z56" s="37"/>
    </row>
    <row r="57" spans="1:26" ht="62">
      <c r="A57" s="23">
        <v>49</v>
      </c>
      <c r="B57" s="22" t="s">
        <v>161</v>
      </c>
      <c r="C57" s="28" t="s">
        <v>232</v>
      </c>
      <c r="D57" s="22"/>
      <c r="E57" s="22" t="s">
        <v>106</v>
      </c>
      <c r="F57" s="22"/>
      <c r="G57" s="22"/>
      <c r="H57" s="22"/>
      <c r="I57" s="22"/>
      <c r="J57" s="22"/>
      <c r="K57" s="22"/>
      <c r="L57" s="22"/>
      <c r="M57" s="22" t="s">
        <v>107</v>
      </c>
      <c r="N57" s="22"/>
      <c r="O57" s="22"/>
      <c r="P57" s="22" t="s">
        <v>122</v>
      </c>
      <c r="Q57" s="22"/>
      <c r="R57" s="22"/>
      <c r="S57" s="22"/>
      <c r="T57" s="22"/>
      <c r="U57" s="22" t="s">
        <v>108</v>
      </c>
      <c r="V57" s="22" t="s">
        <v>108</v>
      </c>
      <c r="W57" s="22" t="s">
        <v>125</v>
      </c>
      <c r="X57" s="22" t="s">
        <v>109</v>
      </c>
      <c r="Y57" s="24"/>
      <c r="Z57" s="37"/>
    </row>
    <row r="58" spans="1:26" ht="46.5">
      <c r="A58" s="23">
        <v>50</v>
      </c>
      <c r="B58" s="22" t="s">
        <v>161</v>
      </c>
      <c r="C58" s="28" t="s">
        <v>233</v>
      </c>
      <c r="D58" s="22"/>
      <c r="E58" s="22" t="s">
        <v>106</v>
      </c>
      <c r="F58" s="22"/>
      <c r="G58" s="22"/>
      <c r="H58" s="22"/>
      <c r="I58" s="22"/>
      <c r="J58" s="22"/>
      <c r="K58" s="22"/>
      <c r="L58" s="22"/>
      <c r="M58" s="22" t="s">
        <v>107</v>
      </c>
      <c r="N58" s="22"/>
      <c r="O58" s="22"/>
      <c r="P58" s="22"/>
      <c r="Q58" s="22"/>
      <c r="R58" s="22"/>
      <c r="S58" s="22"/>
      <c r="T58" s="22"/>
      <c r="U58" s="22" t="s">
        <v>108</v>
      </c>
      <c r="V58" s="22" t="s">
        <v>108</v>
      </c>
      <c r="W58" s="22" t="s">
        <v>125</v>
      </c>
      <c r="X58" s="22" t="s">
        <v>109</v>
      </c>
      <c r="Y58" s="24"/>
      <c r="Z58" s="37"/>
    </row>
    <row r="59" spans="1:26" ht="180" customHeight="1">
      <c r="A59" s="23">
        <v>51</v>
      </c>
      <c r="B59" s="22" t="s">
        <v>161</v>
      </c>
      <c r="C59" s="28" t="s">
        <v>234</v>
      </c>
      <c r="D59" s="22"/>
      <c r="E59" s="22" t="s">
        <v>106</v>
      </c>
      <c r="F59" s="22"/>
      <c r="G59" s="22"/>
      <c r="H59" s="22"/>
      <c r="I59" s="22"/>
      <c r="J59" s="22"/>
      <c r="K59" s="22"/>
      <c r="L59" s="22"/>
      <c r="M59" s="22" t="s">
        <v>107</v>
      </c>
      <c r="N59" s="22"/>
      <c r="O59" s="22"/>
      <c r="P59" s="22" t="s">
        <v>122</v>
      </c>
      <c r="Q59" s="22"/>
      <c r="R59" s="22"/>
      <c r="S59" s="22"/>
      <c r="T59" s="22"/>
      <c r="U59" s="22" t="s">
        <v>108</v>
      </c>
      <c r="V59" s="22" t="s">
        <v>108</v>
      </c>
      <c r="W59" s="22" t="s">
        <v>125</v>
      </c>
      <c r="X59" s="22" t="s">
        <v>109</v>
      </c>
      <c r="Y59" s="26" t="s">
        <v>235</v>
      </c>
      <c r="Z59" s="37"/>
    </row>
    <row r="60" spans="1:26" ht="96" customHeight="1">
      <c r="A60" s="23">
        <v>52</v>
      </c>
      <c r="B60" s="22" t="s">
        <v>139</v>
      </c>
      <c r="C60" s="28" t="s">
        <v>236</v>
      </c>
      <c r="D60" s="22" t="s">
        <v>237</v>
      </c>
      <c r="E60" s="22" t="s">
        <v>106</v>
      </c>
      <c r="F60" s="22"/>
      <c r="G60" s="22"/>
      <c r="H60" s="22"/>
      <c r="I60" s="22"/>
      <c r="J60" s="22"/>
      <c r="K60" s="22"/>
      <c r="L60" s="22"/>
      <c r="M60" s="22" t="s">
        <v>122</v>
      </c>
      <c r="N60" s="22"/>
      <c r="O60" s="22" t="s">
        <v>107</v>
      </c>
      <c r="P60" s="22"/>
      <c r="Q60" s="22"/>
      <c r="R60" s="22"/>
      <c r="S60" s="22"/>
      <c r="T60" s="22"/>
      <c r="U60" s="22" t="s">
        <v>108</v>
      </c>
      <c r="V60" s="22" t="s">
        <v>108</v>
      </c>
      <c r="W60" s="22" t="s">
        <v>125</v>
      </c>
      <c r="X60" s="22" t="s">
        <v>109</v>
      </c>
      <c r="Y60" s="24" t="s">
        <v>238</v>
      </c>
      <c r="Z60" s="37"/>
    </row>
    <row r="61" spans="1:26" ht="57.75" customHeight="1">
      <c r="A61" s="23">
        <v>53</v>
      </c>
      <c r="B61" s="22" t="s">
        <v>165</v>
      </c>
      <c r="C61" s="28" t="s">
        <v>239</v>
      </c>
      <c r="D61" s="22"/>
      <c r="E61" s="22" t="s">
        <v>106</v>
      </c>
      <c r="F61" s="22"/>
      <c r="G61" s="22"/>
      <c r="H61" s="22"/>
      <c r="I61" s="22"/>
      <c r="J61" s="22"/>
      <c r="K61" s="22"/>
      <c r="L61" s="22"/>
      <c r="M61" s="22"/>
      <c r="N61" s="22"/>
      <c r="O61" s="22" t="s">
        <v>107</v>
      </c>
      <c r="P61" s="22"/>
      <c r="Q61" s="22"/>
      <c r="R61" s="22"/>
      <c r="S61" s="22"/>
      <c r="T61" s="22"/>
      <c r="U61" s="22" t="s">
        <v>108</v>
      </c>
      <c r="V61" s="22" t="s">
        <v>108</v>
      </c>
      <c r="W61" s="22" t="s">
        <v>125</v>
      </c>
      <c r="X61" s="22" t="s">
        <v>109</v>
      </c>
      <c r="Y61" s="24" t="s">
        <v>240</v>
      </c>
      <c r="Z61" s="37"/>
    </row>
    <row r="62" spans="1:26" ht="78" customHeight="1">
      <c r="A62" s="23">
        <v>54</v>
      </c>
      <c r="B62" s="22" t="s">
        <v>103</v>
      </c>
      <c r="C62" s="28" t="s">
        <v>241</v>
      </c>
      <c r="D62" s="22"/>
      <c r="E62" s="22" t="s">
        <v>106</v>
      </c>
      <c r="F62" s="22"/>
      <c r="G62" s="22"/>
      <c r="H62" s="22"/>
      <c r="I62" s="22"/>
      <c r="J62" s="22"/>
      <c r="K62" s="22"/>
      <c r="L62" s="22"/>
      <c r="M62" s="22" t="s">
        <v>107</v>
      </c>
      <c r="N62" s="22"/>
      <c r="O62" s="22" t="s">
        <v>122</v>
      </c>
      <c r="P62" s="22"/>
      <c r="Q62" s="22"/>
      <c r="R62" s="22"/>
      <c r="S62" s="22"/>
      <c r="T62" s="22"/>
      <c r="U62" s="22" t="s">
        <v>108</v>
      </c>
      <c r="V62" s="22" t="s">
        <v>108</v>
      </c>
      <c r="W62" s="22" t="s">
        <v>125</v>
      </c>
      <c r="X62" s="22" t="s">
        <v>109</v>
      </c>
      <c r="Y62" s="24" t="s">
        <v>242</v>
      </c>
      <c r="Z62" s="37"/>
    </row>
    <row r="63" spans="1:26" ht="105" customHeight="1">
      <c r="A63" s="23">
        <v>55</v>
      </c>
      <c r="B63" s="22" t="s">
        <v>103</v>
      </c>
      <c r="C63" s="41" t="s">
        <v>243</v>
      </c>
      <c r="D63" s="22"/>
      <c r="E63" s="22" t="s">
        <v>106</v>
      </c>
      <c r="F63" s="22"/>
      <c r="G63" s="22"/>
      <c r="H63" s="22"/>
      <c r="I63" s="22"/>
      <c r="J63" s="22"/>
      <c r="K63" s="22"/>
      <c r="L63" s="22"/>
      <c r="M63" s="22" t="s">
        <v>107</v>
      </c>
      <c r="N63" s="22"/>
      <c r="O63" s="22"/>
      <c r="P63" s="22"/>
      <c r="Q63" s="22"/>
      <c r="R63" s="22"/>
      <c r="S63" s="22"/>
      <c r="T63" s="22"/>
      <c r="U63" s="22" t="s">
        <v>108</v>
      </c>
      <c r="V63" s="22" t="s">
        <v>108</v>
      </c>
      <c r="W63" s="22" t="s">
        <v>125</v>
      </c>
      <c r="X63" s="22" t="s">
        <v>109</v>
      </c>
      <c r="Y63" s="24" t="s">
        <v>244</v>
      </c>
      <c r="Z63" s="37"/>
    </row>
    <row r="64" spans="1:26" ht="15.5">
      <c r="A64" s="23">
        <v>56</v>
      </c>
      <c r="B64" s="22" t="s">
        <v>103</v>
      </c>
      <c r="C64" s="28" t="s">
        <v>245</v>
      </c>
      <c r="D64" s="22"/>
      <c r="E64" s="22" t="s">
        <v>106</v>
      </c>
      <c r="F64" s="22"/>
      <c r="G64" s="22"/>
      <c r="H64" s="22"/>
      <c r="I64" s="22"/>
      <c r="J64" s="22"/>
      <c r="K64" s="22"/>
      <c r="L64" s="22"/>
      <c r="M64" s="22" t="s">
        <v>107</v>
      </c>
      <c r="N64" s="22"/>
      <c r="O64" s="22" t="s">
        <v>122</v>
      </c>
      <c r="P64" s="22"/>
      <c r="Q64" s="22"/>
      <c r="R64" s="22"/>
      <c r="S64" s="22"/>
      <c r="T64" s="22"/>
      <c r="U64" s="22" t="s">
        <v>108</v>
      </c>
      <c r="V64" s="22" t="s">
        <v>108</v>
      </c>
      <c r="W64" s="22" t="s">
        <v>125</v>
      </c>
      <c r="X64" s="22" t="s">
        <v>109</v>
      </c>
      <c r="Y64" s="24"/>
      <c r="Z64" s="37"/>
    </row>
    <row r="65" spans="1:26" ht="78.75" customHeight="1">
      <c r="A65" s="23">
        <v>57</v>
      </c>
      <c r="B65" s="22" t="s">
        <v>139</v>
      </c>
      <c r="C65" s="27" t="s">
        <v>246</v>
      </c>
      <c r="D65" s="22"/>
      <c r="E65" s="22" t="s">
        <v>118</v>
      </c>
      <c r="F65" s="22"/>
      <c r="G65" s="22"/>
      <c r="H65" s="22"/>
      <c r="I65" s="22"/>
      <c r="J65" s="22"/>
      <c r="K65" s="22"/>
      <c r="L65" s="22"/>
      <c r="M65" s="22"/>
      <c r="N65" s="22"/>
      <c r="O65" s="22" t="s">
        <v>107</v>
      </c>
      <c r="P65" s="22"/>
      <c r="Q65" s="22"/>
      <c r="R65" s="22"/>
      <c r="S65" s="22"/>
      <c r="T65" s="22"/>
      <c r="U65" s="22" t="s">
        <v>108</v>
      </c>
      <c r="V65" s="22" t="s">
        <v>108</v>
      </c>
      <c r="W65" s="22" t="s">
        <v>125</v>
      </c>
      <c r="X65" s="22" t="s">
        <v>109</v>
      </c>
      <c r="Y65" s="24" t="s">
        <v>247</v>
      </c>
      <c r="Z65" s="37"/>
    </row>
    <row r="66" spans="1:26" ht="15.5">
      <c r="A66" s="23">
        <v>58</v>
      </c>
      <c r="B66" s="22" t="s">
        <v>103</v>
      </c>
      <c r="C66" s="67" t="s">
        <v>248</v>
      </c>
      <c r="D66" s="22"/>
      <c r="E66" s="22" t="s">
        <v>118</v>
      </c>
      <c r="F66" s="22"/>
      <c r="G66" s="22"/>
      <c r="H66" s="22"/>
      <c r="I66" s="22"/>
      <c r="J66" s="22"/>
      <c r="K66" s="22"/>
      <c r="L66" s="22"/>
      <c r="M66" s="22" t="s">
        <v>107</v>
      </c>
      <c r="N66" s="22"/>
      <c r="O66" s="22" t="s">
        <v>122</v>
      </c>
      <c r="P66" s="22"/>
      <c r="Q66" s="22"/>
      <c r="R66" s="22"/>
      <c r="S66" s="22"/>
      <c r="T66" s="22"/>
      <c r="U66" s="22" t="s">
        <v>108</v>
      </c>
      <c r="V66" s="22" t="s">
        <v>108</v>
      </c>
      <c r="W66" s="22" t="s">
        <v>125</v>
      </c>
      <c r="X66" s="22" t="s">
        <v>109</v>
      </c>
      <c r="Y66" s="24"/>
      <c r="Z66" s="37"/>
    </row>
    <row r="67" spans="1:26" ht="60" customHeight="1">
      <c r="A67" s="23">
        <v>59</v>
      </c>
      <c r="B67" s="22" t="s">
        <v>139</v>
      </c>
      <c r="C67" s="27" t="s">
        <v>249</v>
      </c>
      <c r="D67" s="22"/>
      <c r="E67" s="22" t="s">
        <v>106</v>
      </c>
      <c r="F67" s="22"/>
      <c r="G67" s="22"/>
      <c r="H67" s="22"/>
      <c r="I67" s="22"/>
      <c r="J67" s="22"/>
      <c r="K67" s="22"/>
      <c r="L67" s="22"/>
      <c r="M67" s="22"/>
      <c r="N67" s="22"/>
      <c r="O67" s="22" t="s">
        <v>107</v>
      </c>
      <c r="P67" s="22"/>
      <c r="Q67" s="22"/>
      <c r="R67" s="22"/>
      <c r="S67" s="22"/>
      <c r="T67" s="22"/>
      <c r="U67" s="22" t="s">
        <v>0</v>
      </c>
      <c r="V67" s="22" t="s">
        <v>108</v>
      </c>
      <c r="W67" s="22" t="s">
        <v>125</v>
      </c>
      <c r="X67" s="22" t="s">
        <v>109</v>
      </c>
      <c r="Y67" s="24" t="s">
        <v>250</v>
      </c>
      <c r="Z67" s="37"/>
    </row>
    <row r="68" spans="1:26" ht="31">
      <c r="A68" s="23">
        <v>60</v>
      </c>
      <c r="B68" s="22" t="s">
        <v>103</v>
      </c>
      <c r="C68" s="28" t="s">
        <v>251</v>
      </c>
      <c r="D68" s="22"/>
      <c r="E68" s="22" t="s">
        <v>106</v>
      </c>
      <c r="F68" s="22"/>
      <c r="G68" s="22"/>
      <c r="H68" s="22"/>
      <c r="I68" s="22"/>
      <c r="J68" s="22"/>
      <c r="K68" s="22"/>
      <c r="L68" s="22"/>
      <c r="M68" s="22" t="s">
        <v>107</v>
      </c>
      <c r="N68" s="22"/>
      <c r="O68" s="22" t="s">
        <v>122</v>
      </c>
      <c r="P68" s="22"/>
      <c r="Q68" s="22"/>
      <c r="R68" s="22"/>
      <c r="S68" s="22"/>
      <c r="T68" s="22"/>
      <c r="U68" s="22" t="s">
        <v>108</v>
      </c>
      <c r="V68" s="22" t="s">
        <v>108</v>
      </c>
      <c r="W68" s="22" t="s">
        <v>125</v>
      </c>
      <c r="X68" s="22" t="s">
        <v>109</v>
      </c>
      <c r="Y68" s="24"/>
      <c r="Z68" s="37"/>
    </row>
    <row r="69" spans="1:26" ht="81" customHeight="1">
      <c r="A69" s="23">
        <v>61</v>
      </c>
      <c r="B69" s="22" t="s">
        <v>103</v>
      </c>
      <c r="C69" s="28" t="s">
        <v>252</v>
      </c>
      <c r="D69" s="22"/>
      <c r="E69" s="22" t="s">
        <v>118</v>
      </c>
      <c r="F69" s="22"/>
      <c r="G69" s="22"/>
      <c r="H69" s="22"/>
      <c r="I69" s="22"/>
      <c r="J69" s="22"/>
      <c r="K69" s="22"/>
      <c r="L69" s="22"/>
      <c r="M69" s="22" t="s">
        <v>107</v>
      </c>
      <c r="N69" s="22"/>
      <c r="O69" s="22"/>
      <c r="P69" s="22"/>
      <c r="Q69" s="22"/>
      <c r="R69" s="22"/>
      <c r="S69" s="22"/>
      <c r="T69" s="22"/>
      <c r="U69" s="22" t="s">
        <v>108</v>
      </c>
      <c r="V69" s="22" t="s">
        <v>0</v>
      </c>
      <c r="W69" s="22" t="s">
        <v>108</v>
      </c>
      <c r="X69" s="22" t="s">
        <v>109</v>
      </c>
      <c r="Y69" s="24" t="s">
        <v>253</v>
      </c>
      <c r="Z69" s="37"/>
    </row>
    <row r="70" spans="1:26" ht="31">
      <c r="A70" s="23">
        <v>62</v>
      </c>
      <c r="B70" s="22" t="s">
        <v>103</v>
      </c>
      <c r="C70" s="28" t="s">
        <v>254</v>
      </c>
      <c r="D70" s="22"/>
      <c r="E70" s="22" t="s">
        <v>106</v>
      </c>
      <c r="F70" s="22"/>
      <c r="G70" s="22"/>
      <c r="H70" s="22"/>
      <c r="I70" s="22"/>
      <c r="J70" s="22"/>
      <c r="K70" s="22"/>
      <c r="L70" s="22"/>
      <c r="M70" s="22" t="s">
        <v>107</v>
      </c>
      <c r="N70" s="22"/>
      <c r="O70" s="22"/>
      <c r="P70" s="22"/>
      <c r="Q70" s="22"/>
      <c r="R70" s="22"/>
      <c r="S70" s="22"/>
      <c r="T70" s="22"/>
      <c r="U70" s="22" t="s">
        <v>108</v>
      </c>
      <c r="V70" s="22" t="s">
        <v>108</v>
      </c>
      <c r="W70" s="22" t="s">
        <v>125</v>
      </c>
      <c r="X70" s="22" t="s">
        <v>109</v>
      </c>
      <c r="Y70" s="24"/>
      <c r="Z70" s="37"/>
    </row>
    <row r="71" spans="1:26" ht="68.25" customHeight="1">
      <c r="A71" s="23">
        <v>63</v>
      </c>
      <c r="B71" s="22" t="s">
        <v>212</v>
      </c>
      <c r="C71" s="28" t="s">
        <v>255</v>
      </c>
      <c r="D71" s="22" t="s">
        <v>256</v>
      </c>
      <c r="E71" s="22" t="s">
        <v>118</v>
      </c>
      <c r="F71" s="22"/>
      <c r="G71" s="22"/>
      <c r="H71" s="22"/>
      <c r="I71" s="22"/>
      <c r="J71" s="22"/>
      <c r="K71" s="22"/>
      <c r="L71" s="22"/>
      <c r="M71" s="22" t="s">
        <v>107</v>
      </c>
      <c r="N71" s="22"/>
      <c r="O71" s="22"/>
      <c r="P71" s="22"/>
      <c r="Q71" s="22"/>
      <c r="R71" s="22"/>
      <c r="S71" s="22"/>
      <c r="T71" s="22"/>
      <c r="U71" s="22" t="s">
        <v>108</v>
      </c>
      <c r="V71" s="22" t="s">
        <v>108</v>
      </c>
      <c r="W71" s="22" t="s">
        <v>125</v>
      </c>
      <c r="X71" s="22" t="s">
        <v>109</v>
      </c>
      <c r="Y71" s="24" t="s">
        <v>257</v>
      </c>
      <c r="Z71" s="37"/>
    </row>
    <row r="72" spans="1:26" ht="168" customHeight="1">
      <c r="A72" s="23">
        <v>64</v>
      </c>
      <c r="B72" s="22" t="s">
        <v>103</v>
      </c>
      <c r="C72" s="28" t="s">
        <v>258</v>
      </c>
      <c r="D72" s="22"/>
      <c r="E72" s="22" t="s">
        <v>106</v>
      </c>
      <c r="F72" s="22"/>
      <c r="G72" s="22"/>
      <c r="H72" s="22"/>
      <c r="I72" s="22"/>
      <c r="J72" s="22"/>
      <c r="K72" s="22"/>
      <c r="L72" s="22"/>
      <c r="M72" s="22" t="s">
        <v>107</v>
      </c>
      <c r="N72" s="22"/>
      <c r="O72" s="22"/>
      <c r="P72" s="22"/>
      <c r="Q72" s="22"/>
      <c r="R72" s="22"/>
      <c r="S72" s="22"/>
      <c r="T72" s="22"/>
      <c r="U72" s="22" t="s">
        <v>108</v>
      </c>
      <c r="V72" s="22" t="s">
        <v>108</v>
      </c>
      <c r="W72" s="22" t="s">
        <v>108</v>
      </c>
      <c r="X72" s="22" t="s">
        <v>109</v>
      </c>
      <c r="Y72" s="24" t="s">
        <v>259</v>
      </c>
      <c r="Z72" s="37"/>
    </row>
    <row r="73" spans="1:26" ht="90" customHeight="1">
      <c r="A73" s="23">
        <v>65</v>
      </c>
      <c r="B73" s="22" t="s">
        <v>103</v>
      </c>
      <c r="C73" s="28" t="s">
        <v>260</v>
      </c>
      <c r="D73" s="22" t="s">
        <v>261</v>
      </c>
      <c r="E73" s="22" t="s">
        <v>118</v>
      </c>
      <c r="F73" s="22"/>
      <c r="G73" s="22"/>
      <c r="H73" s="22"/>
      <c r="I73" s="22"/>
      <c r="J73" s="22"/>
      <c r="K73" s="22"/>
      <c r="L73" s="22"/>
      <c r="M73" s="22" t="s">
        <v>107</v>
      </c>
      <c r="N73" s="22"/>
      <c r="O73" s="22" t="s">
        <v>107</v>
      </c>
      <c r="P73" s="22"/>
      <c r="Q73" s="22"/>
      <c r="R73" s="22"/>
      <c r="S73" s="22"/>
      <c r="T73" s="22"/>
      <c r="U73" s="22" t="s">
        <v>108</v>
      </c>
      <c r="V73" s="22" t="s">
        <v>108</v>
      </c>
      <c r="W73" s="22" t="s">
        <v>125</v>
      </c>
      <c r="X73" s="22" t="s">
        <v>109</v>
      </c>
      <c r="Y73" s="24" t="s">
        <v>262</v>
      </c>
      <c r="Z73" s="37"/>
    </row>
    <row r="74" spans="1:26" ht="31">
      <c r="A74" s="23">
        <v>66</v>
      </c>
      <c r="B74" s="22" t="s">
        <v>103</v>
      </c>
      <c r="C74" s="28" t="s">
        <v>263</v>
      </c>
      <c r="D74" s="22"/>
      <c r="E74" s="22" t="s">
        <v>106</v>
      </c>
      <c r="F74" s="22"/>
      <c r="G74" s="22"/>
      <c r="H74" s="22"/>
      <c r="I74" s="22"/>
      <c r="J74" s="22"/>
      <c r="K74" s="22"/>
      <c r="L74" s="22"/>
      <c r="M74" s="22" t="s">
        <v>122</v>
      </c>
      <c r="N74" s="22"/>
      <c r="O74" s="22" t="s">
        <v>107</v>
      </c>
      <c r="P74" s="22"/>
      <c r="Q74" s="22"/>
      <c r="R74" s="22"/>
      <c r="S74" s="22"/>
      <c r="T74" s="22"/>
      <c r="U74" s="22" t="s">
        <v>108</v>
      </c>
      <c r="V74" s="22" t="s">
        <v>108</v>
      </c>
      <c r="W74" s="22" t="s">
        <v>125</v>
      </c>
      <c r="X74" s="22" t="s">
        <v>109</v>
      </c>
      <c r="Y74" s="24"/>
      <c r="Z74" s="37"/>
    </row>
    <row r="75" spans="1:26" ht="31">
      <c r="A75" s="23">
        <v>67</v>
      </c>
      <c r="B75" s="22" t="s">
        <v>103</v>
      </c>
      <c r="C75" s="28" t="s">
        <v>264</v>
      </c>
      <c r="D75" s="22"/>
      <c r="E75" s="22" t="s">
        <v>118</v>
      </c>
      <c r="F75" s="22"/>
      <c r="G75" s="22"/>
      <c r="H75" s="22"/>
      <c r="I75" s="22"/>
      <c r="J75" s="22"/>
      <c r="K75" s="22"/>
      <c r="L75" s="22"/>
      <c r="M75" s="22" t="s">
        <v>122</v>
      </c>
      <c r="N75" s="22"/>
      <c r="O75" s="22" t="s">
        <v>107</v>
      </c>
      <c r="P75" s="22"/>
      <c r="Q75" s="22"/>
      <c r="R75" s="22"/>
      <c r="S75" s="22"/>
      <c r="T75" s="22"/>
      <c r="U75" s="22" t="s">
        <v>108</v>
      </c>
      <c r="V75" s="22" t="s">
        <v>108</v>
      </c>
      <c r="W75" s="22" t="s">
        <v>125</v>
      </c>
      <c r="X75" s="22" t="s">
        <v>109</v>
      </c>
      <c r="Y75" s="24"/>
      <c r="Z75" s="37"/>
    </row>
    <row r="76" spans="1:26" ht="15.5">
      <c r="A76" s="23">
        <v>68</v>
      </c>
      <c r="B76" s="22" t="s">
        <v>103</v>
      </c>
      <c r="C76" s="28" t="s">
        <v>265</v>
      </c>
      <c r="D76" s="22"/>
      <c r="E76" s="22" t="s">
        <v>106</v>
      </c>
      <c r="F76" s="22"/>
      <c r="G76" s="22"/>
      <c r="H76" s="22"/>
      <c r="I76" s="22"/>
      <c r="J76" s="22"/>
      <c r="K76" s="22"/>
      <c r="L76" s="22"/>
      <c r="M76" s="22" t="s">
        <v>107</v>
      </c>
      <c r="N76" s="22"/>
      <c r="O76" s="22" t="s">
        <v>122</v>
      </c>
      <c r="P76" s="22"/>
      <c r="Q76" s="22"/>
      <c r="R76" s="22"/>
      <c r="S76" s="22"/>
      <c r="T76" s="22"/>
      <c r="U76" s="22" t="s">
        <v>108</v>
      </c>
      <c r="V76" s="22" t="s">
        <v>108</v>
      </c>
      <c r="W76" s="22" t="s">
        <v>125</v>
      </c>
      <c r="X76" s="22" t="s">
        <v>109</v>
      </c>
      <c r="Y76" s="24" t="s">
        <v>266</v>
      </c>
      <c r="Z76" s="37"/>
    </row>
    <row r="77" spans="1:26" ht="178.5" customHeight="1">
      <c r="A77" s="23">
        <v>69</v>
      </c>
      <c r="B77" s="22" t="s">
        <v>103</v>
      </c>
      <c r="C77" s="28" t="s">
        <v>267</v>
      </c>
      <c r="D77" s="22"/>
      <c r="E77" s="22" t="s">
        <v>106</v>
      </c>
      <c r="F77" s="22"/>
      <c r="G77" s="22"/>
      <c r="H77" s="22"/>
      <c r="I77" s="22"/>
      <c r="J77" s="22"/>
      <c r="K77" s="22"/>
      <c r="L77" s="22"/>
      <c r="M77" s="22" t="s">
        <v>107</v>
      </c>
      <c r="N77" s="22"/>
      <c r="O77" s="22"/>
      <c r="P77" s="22" t="s">
        <v>107</v>
      </c>
      <c r="Q77" s="22"/>
      <c r="R77" s="22"/>
      <c r="S77" s="22"/>
      <c r="T77" s="22"/>
      <c r="U77" s="22" t="s">
        <v>108</v>
      </c>
      <c r="V77" s="22" t="s">
        <v>108</v>
      </c>
      <c r="W77" s="22" t="s">
        <v>125</v>
      </c>
      <c r="X77" s="22" t="s">
        <v>109</v>
      </c>
      <c r="Y77" s="38" t="s">
        <v>268</v>
      </c>
      <c r="Z77" s="37"/>
    </row>
    <row r="78" spans="1:26" ht="45" customHeight="1">
      <c r="A78" s="23">
        <v>70</v>
      </c>
      <c r="B78" s="22" t="s">
        <v>103</v>
      </c>
      <c r="C78" s="28" t="s">
        <v>269</v>
      </c>
      <c r="D78" s="22"/>
      <c r="E78" s="22" t="s">
        <v>118</v>
      </c>
      <c r="F78" s="22"/>
      <c r="G78" s="22"/>
      <c r="H78" s="22"/>
      <c r="I78" s="22"/>
      <c r="J78" s="22" t="s">
        <v>107</v>
      </c>
      <c r="K78" s="22"/>
      <c r="L78" s="22"/>
      <c r="M78" s="22"/>
      <c r="N78" s="22"/>
      <c r="O78" s="22"/>
      <c r="P78" s="22"/>
      <c r="Q78" s="22"/>
      <c r="R78" s="22"/>
      <c r="S78" s="22"/>
      <c r="T78" s="22"/>
      <c r="U78" s="22" t="s">
        <v>108</v>
      </c>
      <c r="V78" s="22" t="s">
        <v>108</v>
      </c>
      <c r="W78" s="22" t="s">
        <v>125</v>
      </c>
      <c r="X78" s="22" t="s">
        <v>109</v>
      </c>
      <c r="Y78" s="38" t="s">
        <v>270</v>
      </c>
      <c r="Z78" s="37"/>
    </row>
    <row r="79" spans="1:26" ht="31">
      <c r="A79" s="23">
        <v>71</v>
      </c>
      <c r="B79" s="22" t="s">
        <v>103</v>
      </c>
      <c r="C79" s="40" t="s">
        <v>271</v>
      </c>
      <c r="D79" s="22"/>
      <c r="E79" s="22" t="s">
        <v>118</v>
      </c>
      <c r="F79" s="22"/>
      <c r="G79" s="22"/>
      <c r="H79" s="22"/>
      <c r="I79" s="22"/>
      <c r="J79" s="22"/>
      <c r="K79" s="22"/>
      <c r="L79" s="22"/>
      <c r="M79" s="22" t="s">
        <v>107</v>
      </c>
      <c r="N79" s="22"/>
      <c r="O79" s="22" t="s">
        <v>107</v>
      </c>
      <c r="P79" s="39"/>
      <c r="Q79" s="22"/>
      <c r="R79" s="22"/>
      <c r="S79" s="22"/>
      <c r="T79" s="22"/>
      <c r="U79" s="22" t="s">
        <v>108</v>
      </c>
      <c r="V79" s="22" t="s">
        <v>108</v>
      </c>
      <c r="W79" s="22" t="s">
        <v>125</v>
      </c>
      <c r="X79" s="22" t="s">
        <v>109</v>
      </c>
      <c r="Y79" s="38"/>
      <c r="Z79" s="37"/>
    </row>
    <row r="80" spans="1:26" ht="62">
      <c r="A80" s="23">
        <v>72</v>
      </c>
      <c r="B80" s="22" t="s">
        <v>103</v>
      </c>
      <c r="C80" s="41" t="s">
        <v>272</v>
      </c>
      <c r="D80" s="22"/>
      <c r="E80" s="22" t="s">
        <v>118</v>
      </c>
      <c r="F80" s="22"/>
      <c r="G80" s="22"/>
      <c r="H80" s="22"/>
      <c r="I80" s="22"/>
      <c r="J80" s="22"/>
      <c r="K80" s="22"/>
      <c r="L80" s="22"/>
      <c r="M80" s="22" t="s">
        <v>107</v>
      </c>
      <c r="N80" s="22"/>
      <c r="O80" s="22"/>
      <c r="P80" s="22" t="s">
        <v>107</v>
      </c>
      <c r="Q80" s="22"/>
      <c r="R80" s="22"/>
      <c r="S80" s="22"/>
      <c r="T80" s="22"/>
      <c r="U80" s="22" t="s">
        <v>0</v>
      </c>
      <c r="V80" s="22" t="s">
        <v>108</v>
      </c>
      <c r="W80" s="22" t="s">
        <v>125</v>
      </c>
      <c r="X80" s="22" t="s">
        <v>109</v>
      </c>
      <c r="Y80" s="38"/>
      <c r="Z80" s="37"/>
    </row>
    <row r="81" spans="1:26" ht="31">
      <c r="A81" s="23">
        <v>73</v>
      </c>
      <c r="B81" s="22" t="s">
        <v>139</v>
      </c>
      <c r="C81" s="40" t="s">
        <v>273</v>
      </c>
      <c r="D81" s="22"/>
      <c r="E81" s="22" t="s">
        <v>106</v>
      </c>
      <c r="F81" s="22"/>
      <c r="G81" s="22"/>
      <c r="H81" s="22"/>
      <c r="I81" s="22"/>
      <c r="J81" s="22"/>
      <c r="K81" s="22"/>
      <c r="L81" s="22"/>
      <c r="M81" s="22" t="s">
        <v>107</v>
      </c>
      <c r="N81" s="22"/>
      <c r="O81" s="22" t="s">
        <v>107</v>
      </c>
      <c r="P81" s="22"/>
      <c r="Q81" s="22"/>
      <c r="R81" s="22"/>
      <c r="S81" s="22"/>
      <c r="T81" s="22"/>
      <c r="U81" s="22" t="s">
        <v>0</v>
      </c>
      <c r="V81" s="22" t="s">
        <v>108</v>
      </c>
      <c r="W81" s="22" t="s">
        <v>125</v>
      </c>
      <c r="X81" s="22" t="s">
        <v>109</v>
      </c>
      <c r="Y81" s="38"/>
      <c r="Z81" s="37"/>
    </row>
    <row r="82" spans="1:26" ht="31">
      <c r="A82" s="23">
        <v>74</v>
      </c>
      <c r="B82" s="22" t="s">
        <v>103</v>
      </c>
      <c r="C82" s="40" t="s">
        <v>274</v>
      </c>
      <c r="D82" s="22" t="s">
        <v>275</v>
      </c>
      <c r="E82" s="22" t="s">
        <v>106</v>
      </c>
      <c r="F82" s="22"/>
      <c r="G82" s="22"/>
      <c r="H82" s="22"/>
      <c r="I82" s="22"/>
      <c r="J82" s="22"/>
      <c r="K82" s="22"/>
      <c r="L82" s="22"/>
      <c r="M82" s="22" t="s">
        <v>107</v>
      </c>
      <c r="N82" s="22"/>
      <c r="O82" s="22" t="s">
        <v>107</v>
      </c>
      <c r="P82" s="22"/>
      <c r="Q82" s="22"/>
      <c r="R82" s="22"/>
      <c r="S82" s="22"/>
      <c r="T82" s="22"/>
      <c r="U82" s="22" t="s">
        <v>108</v>
      </c>
      <c r="V82" s="22" t="s">
        <v>108</v>
      </c>
      <c r="W82" s="22" t="s">
        <v>125</v>
      </c>
      <c r="X82" s="22" t="s">
        <v>109</v>
      </c>
      <c r="Y82" s="38"/>
      <c r="Z82" s="37"/>
    </row>
    <row r="83" spans="1:26" ht="46.5">
      <c r="A83" s="23">
        <v>75</v>
      </c>
      <c r="B83" s="22" t="s">
        <v>139</v>
      </c>
      <c r="C83" s="40" t="s">
        <v>276</v>
      </c>
      <c r="D83" s="22" t="s">
        <v>277</v>
      </c>
      <c r="E83" s="22" t="s">
        <v>106</v>
      </c>
      <c r="F83" s="22"/>
      <c r="G83" s="22"/>
      <c r="H83" s="22"/>
      <c r="I83" s="22"/>
      <c r="J83" s="22"/>
      <c r="K83" s="22"/>
      <c r="L83" s="22"/>
      <c r="M83" s="22"/>
      <c r="N83" s="22"/>
      <c r="O83" s="22" t="s">
        <v>107</v>
      </c>
      <c r="P83" s="22"/>
      <c r="Q83" s="22"/>
      <c r="R83" s="22"/>
      <c r="S83" s="22"/>
      <c r="T83" s="22"/>
      <c r="U83" s="22" t="s">
        <v>108</v>
      </c>
      <c r="V83" s="22" t="s">
        <v>108</v>
      </c>
      <c r="W83" s="22" t="s">
        <v>125</v>
      </c>
      <c r="X83" s="22" t="s">
        <v>109</v>
      </c>
      <c r="Y83" s="38"/>
      <c r="Z83" s="37"/>
    </row>
  </sheetData>
  <customSheetViews>
    <customSheetView guid="{0D2B2804-9719-4CF5-836A-6C18EF806972}" scale="55" showPageBreaks="1" view="pageBreakPreview">
      <selection activeCell="N3" sqref="N3"/>
      <pageMargins left="0.70866141732283472" right="0.70866141732283472" top="0.74803149606299213" bottom="0.74803149606299213" header="0.31496062992125984" footer="0.31496062992125984"/>
      <pageSetup scale="25" orientation="portrait" r:id="rId1"/>
    </customSheetView>
    <customSheetView guid="{F51EB4BE-1505-43EE-8F62-937E5A5046CB}" scale="54" hiddenColumns="1">
      <selection activeCell="A83" sqref="A83"/>
      <pageMargins left="0.7" right="0.7" top="0.75" bottom="0.75" header="0.3" footer="0.3"/>
    </customSheetView>
  </customSheetViews>
  <mergeCells count="14">
    <mergeCell ref="AC9:AH9"/>
    <mergeCell ref="F7:T7"/>
    <mergeCell ref="A1:Z1"/>
    <mergeCell ref="C7:C8"/>
    <mergeCell ref="A7:A8"/>
    <mergeCell ref="Y7:Y8"/>
    <mergeCell ref="W7:W8"/>
    <mergeCell ref="V7:V8"/>
    <mergeCell ref="U7:U8"/>
    <mergeCell ref="D7:D8"/>
    <mergeCell ref="B7:B8"/>
    <mergeCell ref="X7:X8"/>
    <mergeCell ref="Z7:Z8"/>
    <mergeCell ref="E7:E8"/>
  </mergeCells>
  <hyperlinks>
    <hyperlink ref="C72" location="'Technical requrements'!A1" display="Technical requrements for line installing (ESD protection, water cooling, air exausting...)" xr:uid="{00000000-0004-0000-2200-000000000000}"/>
    <hyperlink ref="C71" location="'MSDS TDS'!A1" display="MSDS/TDS list (chemical material)" xr:uid="{00000000-0004-0000-2200-000001000000}"/>
    <hyperlink ref="C70" location="'Preventive maintenance plan'!A1" display="Preventive maintenance plan" xr:uid="{00000000-0004-0000-2200-000002000000}"/>
    <hyperlink ref="C69" location="'CnS tools '!A1" display="CnS tools that we have detail Buy off scheduale" xr:uid="{00000000-0004-0000-2200-000003000000}"/>
    <hyperlink ref="C67" location="'VDA 6.3'!A1" display="Run VDA 6.3 audit on Buy off line" xr:uid="{00000000-0004-0000-2200-000004000000}"/>
    <hyperlink ref="C49" location="'Spare part list'!A1" display="Spare Part Lists" xr:uid="{00000000-0004-0000-2200-000005000000}"/>
    <hyperlink ref="C48" location="'User Manuals'!A1" display="User Manuals" xr:uid="{00000000-0004-0000-2200-000006000000}"/>
    <hyperlink ref="C9" location="'BOM list'!A1" display="BOM list" xr:uid="{00000000-0004-0000-2200-000007000000}"/>
    <hyperlink ref="C65" location="'Process audit customer audit'!A1" display="Last process audit/customer audit for Buy of line" xr:uid="{00000000-0004-0000-2200-000008000000}"/>
    <hyperlink ref="C64" location="'Poka Yoke list'!A1" display="Poka Yoke list" xr:uid="{00000000-0004-0000-2200-000009000000}"/>
    <hyperlink ref="C21" location="'Lesson learned'!A1" display="Lessons learned/Problem solving list" xr:uid="{00000000-0004-0000-2200-00000A000000}"/>
    <hyperlink ref="C62" location="'Packing instruction for FG'!A1" display="Packing instruction for FG" xr:uid="{00000000-0004-0000-2200-00000B000000}"/>
    <hyperlink ref="C61" location="'Qualification of operators'!A1" display="Qualification of operators (Buy off)" xr:uid="{00000000-0004-0000-2200-00000C000000}"/>
    <hyperlink ref="C60" location="'Defect rate PPM FPY'!A1" display="Defect rate/PPM/FPY" xr:uid="{00000000-0004-0000-2200-00000D000000}"/>
    <hyperlink ref="C31" location="'Pilot Run R@R Report'!A1" display="Pilot Run/R@R Report" xr:uid="{00000000-0004-0000-2200-00000E000000}"/>
    <hyperlink ref="C29" location="'Capability Study'!A1" display="Capability Study(PPK, CPK)" xr:uid="{00000000-0004-0000-2200-00000F000000}"/>
    <hyperlink ref="C59" location="'Detailed Packing List'!A1" display="Detailed Packing List (M/C, Fixtures, spare parts...)" xr:uid="{00000000-0004-0000-2200-000010000000}"/>
    <hyperlink ref="C27" location="'Should be condition '!A1" display="Should be condition of each M/C, fixture" xr:uid="{00000000-0004-0000-2200-000011000000}"/>
    <hyperlink ref="C58" location="'Spare Part kit'!A1" display="Spare Part kit for 6 months (Tooling, M/C, Fixture)" xr:uid="{00000000-0004-0000-2200-000012000000}"/>
    <hyperlink ref="C57" location="'Spare M C, fixtures, tooling'!A1" display="Spare M/C, fixtures, tooling for changeover, overhauling" xr:uid="{00000000-0004-0000-2200-000013000000}"/>
    <hyperlink ref="C56" location="'PM records (Machine)'!A1" display="PM records (Machine)" xr:uid="{00000000-0004-0000-2200-000014000000}"/>
    <hyperlink ref="C55" location="'incindent history'!A1" display=" M/C, fixtures, tooling incindent history" xr:uid="{00000000-0004-0000-2200-000015000000}"/>
    <hyperlink ref="C54" location="'PLC programs codes'!A1" display="PLC programs/codes" xr:uid="{00000000-0004-0000-2200-000016000000}"/>
    <hyperlink ref="C53" location="'Fixture Assembly Drawing'!A1" display="Fixture Assembly Drawing" xr:uid="{00000000-0004-0000-2200-000017000000}"/>
    <hyperlink ref="C52" location="'Tooling Assembly Drawing'!A1" display="Tooling Assembly Drawing" xr:uid="{00000000-0004-0000-2200-000018000000}"/>
    <hyperlink ref="C51" location="'Machine Qualification Report '!A1" display="Machine Qualification Report " xr:uid="{00000000-0004-0000-2200-000019000000}"/>
    <hyperlink ref="C50" location="'Modification of m c after BO'!A1" display="Modification of m/c after Buy off" xr:uid="{00000000-0004-0000-2200-00001A000000}"/>
    <hyperlink ref="C47" location="'Material composition'!A1" display="Complete material composition used during Buy off" xr:uid="{00000000-0004-0000-2200-00001B000000}"/>
    <hyperlink ref="C46" location="'Raw Material Data Sheet '!A1" display="Raw Material Data Sheet " xr:uid="{00000000-0004-0000-2200-00001C000000}"/>
    <hyperlink ref="C45" location="'Measuring equipment list'!A1" display="Measuring equipment list" xr:uid="{00000000-0004-0000-2200-00001D000000}"/>
    <hyperlink ref="C20" location="'Outgoing Inspection Standard'!A1" display="Outgoing Inspection Standard" xr:uid="{00000000-0004-0000-2200-00001E000000}"/>
    <hyperlink ref="C44" location="'Customer Claims List'!A1" display="Customer Claims List" xr:uid="{00000000-0004-0000-2200-00001F000000}"/>
    <hyperlink ref="C43" location="'Master Defect Sample'!A1" display="Master Defect Sample" xr:uid="{00000000-0004-0000-2200-000020000000}"/>
    <hyperlink ref="C42" location="VIC!A1" display="Visual Inspection Criteria/Aids" xr:uid="{00000000-0004-0000-2200-000021000000}"/>
    <hyperlink ref="C22" location="'Quality Work Instruction'!A1" display="Quality Work Instruction" xr:uid="{00000000-0004-0000-2200-000022000000}"/>
    <hyperlink ref="C40" location="'Gauge Drawing '!A1" display="Gauge Drawing " xr:uid="{00000000-0004-0000-2200-000023000000}"/>
    <hyperlink ref="C10" location="Drawings!A1" display="Drawing (Product)" xr:uid="{00000000-0004-0000-2200-000024000000}"/>
    <hyperlink ref="C39" location="QCCL!A1" display="QCCL" xr:uid="{00000000-0004-0000-2200-000025000000}"/>
    <hyperlink ref="C28" location="'Sample Evaluation Report'!A1" display="SER" xr:uid="{00000000-0004-0000-2200-000026000000}"/>
    <hyperlink ref="C38" location="'Measurement System Analysis'!A1" display="MSA(GR&amp;R)" xr:uid="{00000000-0004-0000-2200-000027000000}"/>
    <hyperlink ref="C37" location="'Machine Operating Instruction'!A1" display="MOI" xr:uid="{00000000-0004-0000-2200-000028000000}"/>
    <hyperlink ref="C34" location="'In Process Control'!A1" display="IPC" xr:uid="{00000000-0004-0000-2200-000029000000}"/>
    <hyperlink ref="C18" location="'Process Flow Chart'!A1" display="PFC" xr:uid="{00000000-0004-0000-2200-00002A000000}"/>
    <hyperlink ref="C66" location="'Interview master '!A1" display="Interview master " xr:uid="{00000000-0004-0000-2200-00002B000000}"/>
    <hyperlink ref="C73" location="'CR list'!A1" display="Collect CR list of on going changes and separate what can be done immediatlly/later" xr:uid="{00000000-0004-0000-2200-00002C000000}"/>
    <hyperlink ref="C74" location="'Internal Deviation Approval'!A1" display="Internal Deviation Aprroval list" xr:uid="{00000000-0004-0000-2200-00002D000000}"/>
    <hyperlink ref="C75" location="'Permitted reworks'!A1" display="Procedure/List of permitted reworks" xr:uid="{00000000-0004-0000-2200-00002E000000}"/>
    <hyperlink ref="C76" location="'Safety Audit'!A1" display="Safty Audit (Line, m/c...)" xr:uid="{00000000-0004-0000-2200-00002F000000}"/>
    <hyperlink ref="C77" location="Changeover!A1" display="Changeover/Machine set up" xr:uid="{00000000-0004-0000-2200-000030000000}"/>
    <hyperlink ref="C68" location="'Offline processes'!A1" display="Identify all offline processes" xr:uid="{00000000-0004-0000-2200-000031000000}"/>
    <hyperlink ref="C16" location="'Process Manual'!A1" display="PM" xr:uid="{00000000-0004-0000-2200-000032000000}"/>
    <hyperlink ref="C17" location="PFMEA!A1" display="PFMEA" xr:uid="{00000000-0004-0000-2200-000033000000}"/>
    <hyperlink ref="C23" location="'Process Control Plan'!A1" display="PCP" xr:uid="{00000000-0004-0000-2200-000034000000}"/>
    <hyperlink ref="C78" location="Escalation!A1" display="Escalation" xr:uid="{00000000-0004-0000-2200-000035000000}"/>
    <hyperlink ref="C79" location="Comp.param.!A1" display="Comparison parameters" xr:uid="{00000000-0004-0000-2200-000036000000}"/>
    <hyperlink ref="C14" location="Spec.card!A1" display="Specification Card" xr:uid="{00000000-0004-0000-2200-000037000000}"/>
    <hyperlink ref="C80" location="MCPPRFL!A1" display="Maintenance Consumption Parts Periodic Replace Frequency List" xr:uid="{00000000-0004-0000-2200-000038000000}"/>
    <hyperlink ref="C81" location="'Customer Requirements'!A1" display="Customer requirements" xr:uid="{00000000-0004-0000-2200-000039000000}"/>
    <hyperlink ref="C32" location="PPAP!A1" display="Part Production Approval Process" xr:uid="{00000000-0004-0000-2200-00003A000000}"/>
    <hyperlink ref="C82" location="'GP12'!A1" display="GP12" xr:uid="{00000000-0004-0000-2200-00003B000000}"/>
    <hyperlink ref="C19" location="TOI!A1" display="TOI" xr:uid="{00000000-0004-0000-2200-00003C000000}"/>
    <hyperlink ref="C36" location="ESDC!A1" display="ESDC" xr:uid="{00000000-0004-0000-2200-00003D000000}"/>
    <hyperlink ref="C83" location="EPCCP!A1" display="Early Production Containment Control Plan" xr:uid="{00000000-0004-0000-2200-00003E000000}"/>
    <hyperlink ref="C13" location="OS!A1" display="Operation Sheet" xr:uid="{00000000-0004-0000-2200-00003F000000}"/>
    <hyperlink ref="C11" location="'SX matrix'!A1" display="Product and Process Special Characteristics Matrix" xr:uid="{00000000-0004-0000-2200-000040000000}"/>
    <hyperlink ref="C12" location="DFMEA!A1" display="Design Failure Mode and Effect Analysis" xr:uid="{00000000-0004-0000-2200-000041000000}"/>
    <hyperlink ref="C15" location="ERP!A1" display="Production Routing" xr:uid="{00000000-0004-0000-2200-000042000000}"/>
    <hyperlink ref="C24" location="PMWI!A1" display="Preventive Maintenance  Work Instruction and PM Card" xr:uid="{00000000-0004-0000-2200-000043000000}"/>
    <hyperlink ref="C25" location="'SWS Layout'!A1" display="Standard work sheet/Layout" xr:uid="{00000000-0004-0000-2200-000044000000}"/>
    <hyperlink ref="C26" location="TPM!A1" display="Equipment check list for Operator" xr:uid="{00000000-0004-0000-2200-000045000000}"/>
    <hyperlink ref="C30" location="'PV1 report'!A1" display="Process verification (trial run) report" xr:uid="{00000000-0004-0000-2200-000046000000}"/>
    <hyperlink ref="C33" location="PEWI!A1" display="Process Engineering Work Instruction" xr:uid="{00000000-0004-0000-2200-000047000000}"/>
    <hyperlink ref="C35" location="'Machine Setting Report'!A1" display="Machine Setting Report" xr:uid="{00000000-0004-0000-2200-000048000000}"/>
    <hyperlink ref="C41" location="'Calibration Report '!A1" display="Measuring Equipment  Calibration Report " xr:uid="{00000000-0004-0000-2200-000049000000}"/>
    <hyperlink ref="C63" location="'Consumables drawing'!A1" display="Consumables drawing" xr:uid="{00000000-0004-0000-2200-00004A000000}"/>
  </hyperlinks>
  <pageMargins left="0.70866141732283472" right="0.70866141732283472" top="0.74803149606299213" bottom="0.74803149606299213" header="0.31496062992125984" footer="0.31496062992125984"/>
  <pageSetup scale="25" orientation="portrait"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7"/>
  <dimension ref="E3"/>
  <sheetViews>
    <sheetView workbookViewId="0">
      <selection activeCell="E3" sqref="E3"/>
    </sheetView>
  </sheetViews>
  <sheetFormatPr defaultColWidth="9.1796875" defaultRowHeight="14.5"/>
  <sheetData>
    <row r="3" spans="5:5">
      <c r="E3" s="12" t="s">
        <v>22</v>
      </c>
    </row>
  </sheetData>
  <customSheetViews>
    <customSheetView guid="{0D2B2804-9719-4CF5-836A-6C18EF806972}" state="hidden">
      <selection activeCell="E3" sqref="E3"/>
      <pageMargins left="0.7" right="0.7" top="0.75" bottom="0.75" header="0.3" footer="0.3"/>
    </customSheetView>
    <customSheetView guid="{F51EB4BE-1505-43EE-8F62-937E5A5046CB}" state="hidden">
      <selection activeCell="E3" sqref="E3"/>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23</vt:i4>
      </vt:variant>
    </vt:vector>
  </HeadingPairs>
  <TitlesOfParts>
    <vt:vector size="59" baseType="lpstr">
      <vt:lpstr>Portada </vt:lpstr>
      <vt:lpstr>CFT </vt:lpstr>
      <vt:lpstr>Programa APQP</vt:lpstr>
      <vt:lpstr>DATA</vt:lpstr>
      <vt:lpstr>Stage2</vt:lpstr>
      <vt:lpstr>00</vt:lpstr>
      <vt:lpstr>01</vt:lpstr>
      <vt:lpstr>02</vt:lpstr>
      <vt:lpstr>03</vt:lpstr>
      <vt:lpstr>04</vt:lpstr>
      <vt:lpstr>05</vt:lpstr>
      <vt:lpstr>06</vt:lpstr>
      <vt:lpstr>07</vt:lpstr>
      <vt:lpstr>08</vt:lpstr>
      <vt:lpstr>09</vt:lpstr>
      <vt:lpstr>10</vt:lpstr>
      <vt:lpstr>11</vt:lpstr>
      <vt:lpstr>12</vt:lpstr>
      <vt:lpstr>Stage 3</vt:lpstr>
      <vt:lpstr>13</vt:lpstr>
      <vt:lpstr>14</vt:lpstr>
      <vt:lpstr>15</vt:lpstr>
      <vt:lpstr>16</vt:lpstr>
      <vt:lpstr>17</vt:lpstr>
      <vt:lpstr>18</vt:lpstr>
      <vt:lpstr>19</vt:lpstr>
      <vt:lpstr>20</vt:lpstr>
      <vt:lpstr>Stage 4</vt:lpstr>
      <vt:lpstr>21</vt:lpstr>
      <vt:lpstr>22</vt:lpstr>
      <vt:lpstr>23</vt:lpstr>
      <vt:lpstr>24</vt:lpstr>
      <vt:lpstr>25</vt:lpstr>
      <vt:lpstr>Stage 5</vt:lpstr>
      <vt:lpstr>Buy off preparation checklist</vt:lpstr>
      <vt:lpstr>Misc</vt:lpstr>
      <vt:lpstr>'00'!Print_Area</vt:lpstr>
      <vt:lpstr>'01'!Print_Area</vt:lpstr>
      <vt:lpstr>'02'!Print_Area</vt:lpstr>
      <vt:lpstr>'03'!Print_Area</vt:lpstr>
      <vt:lpstr>'04'!Print_Area</vt:lpstr>
      <vt:lpstr>'06'!Print_Area</vt:lpstr>
      <vt:lpstr>'07'!Print_Area</vt:lpstr>
      <vt:lpstr>'08'!Print_Area</vt:lpstr>
      <vt:lpstr>'09'!Print_Area</vt:lpstr>
      <vt:lpstr>'10'!Print_Area</vt:lpstr>
      <vt:lpstr>'11'!Print_Area</vt:lpstr>
      <vt:lpstr>'14'!Print_Area</vt:lpstr>
      <vt:lpstr>'15'!Print_Area</vt:lpstr>
      <vt:lpstr>'17'!Print_Area</vt:lpstr>
      <vt:lpstr>'19'!Print_Area</vt:lpstr>
      <vt:lpstr>'20'!Print_Area</vt:lpstr>
      <vt:lpstr>'21'!Print_Area</vt:lpstr>
      <vt:lpstr>'24'!Print_Area</vt:lpstr>
      <vt:lpstr>'25'!Print_Area</vt:lpstr>
      <vt:lpstr>'Stage 3'!Print_Area</vt:lpstr>
      <vt:lpstr>'Stage 4'!Print_Area</vt:lpstr>
      <vt:lpstr>'Stage 5'!Print_Area</vt:lpstr>
      <vt:lpstr>Stage2!Print_Area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Herrera</dc:creator>
  <cp:lastModifiedBy>Eduardo Tejeida</cp:lastModifiedBy>
  <cp:lastPrinted>2024-11-11T15:59:39Z</cp:lastPrinted>
  <dcterms:created xsi:type="dcterms:W3CDTF">2015-06-09T14:03:55Z</dcterms:created>
  <dcterms:modified xsi:type="dcterms:W3CDTF">2025-06-12T21:59:21Z</dcterms:modified>
</cp:coreProperties>
</file>